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 Trevisan\Desktop\"/>
    </mc:Choice>
  </mc:AlternateContent>
  <xr:revisionPtr revIDLastSave="0" documentId="13_ncr:1_{AFEF1911-B7EC-4CA9-80C0-76C375497798}" xr6:coauthVersionLast="47" xr6:coauthVersionMax="47" xr10:uidLastSave="{00000000-0000-0000-0000-000000000000}"/>
  <bookViews>
    <workbookView xWindow="-120" yWindow="-120" windowWidth="29040" windowHeight="15720" xr2:uid="{48A58102-016E-4272-9573-F7EFFF9B089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 l="1"/>
  <c r="M16" i="1"/>
  <c r="M17" i="1"/>
  <c r="M18" i="1"/>
  <c r="M19" i="1"/>
  <c r="M15" i="1"/>
  <c r="M2" i="1"/>
  <c r="K5" i="1"/>
  <c r="K11" i="1"/>
  <c r="K10" i="1"/>
  <c r="K3" i="1"/>
  <c r="K4" i="1"/>
  <c r="K6" i="1"/>
  <c r="K7" i="1"/>
  <c r="K8" i="1"/>
  <c r="K12" i="1"/>
  <c r="K13" i="1"/>
  <c r="K14" i="1"/>
  <c r="M11" i="1"/>
  <c r="K2" i="1"/>
  <c r="M7" i="1"/>
  <c r="M8" i="1"/>
  <c r="M10" i="1"/>
  <c r="M12" i="1"/>
  <c r="M13" i="1"/>
  <c r="M14" i="1"/>
  <c r="M3" i="1"/>
  <c r="M4" i="1"/>
  <c r="M5" i="1"/>
  <c r="M6" i="1"/>
</calcChain>
</file>

<file path=xl/sharedStrings.xml><?xml version="1.0" encoding="utf-8"?>
<sst xmlns="http://schemas.openxmlformats.org/spreadsheetml/2006/main" count="47" uniqueCount="47">
  <si>
    <t>Element</t>
  </si>
  <si>
    <t>Atomic Number</t>
  </si>
  <si>
    <t>Absorption Edge</t>
  </si>
  <si>
    <t>K-Alpha Line</t>
  </si>
  <si>
    <t>Fluorescence Yield</t>
  </si>
  <si>
    <t>Ni</t>
  </si>
  <si>
    <t>Fe</t>
  </si>
  <si>
    <t>Mn</t>
  </si>
  <si>
    <t>Cr</t>
  </si>
  <si>
    <t>Ti</t>
  </si>
  <si>
    <t>Ca</t>
  </si>
  <si>
    <t>K</t>
  </si>
  <si>
    <t>S</t>
  </si>
  <si>
    <t>P</t>
  </si>
  <si>
    <t>Si</t>
  </si>
  <si>
    <t>Al</t>
  </si>
  <si>
    <t>Mg</t>
  </si>
  <si>
    <t>Na</t>
  </si>
  <si>
    <t>O</t>
  </si>
  <si>
    <t>R</t>
  </si>
  <si>
    <t>r-1/r</t>
  </si>
  <si>
    <t>r1</t>
  </si>
  <si>
    <t>r1-1/r1</t>
  </si>
  <si>
    <t>Atomic Mass</t>
  </si>
  <si>
    <t>Fa</t>
  </si>
  <si>
    <t>Ha</t>
  </si>
  <si>
    <t>Ht</t>
  </si>
  <si>
    <t>Kr</t>
  </si>
  <si>
    <t>Nr</t>
  </si>
  <si>
    <t>Tc</t>
  </si>
  <si>
    <t>f_REL</t>
  </si>
  <si>
    <t>f_NT</t>
  </si>
  <si>
    <t>A12</t>
  </si>
  <si>
    <t>A16</t>
  </si>
  <si>
    <t>K-beta Line</t>
  </si>
  <si>
    <t>P_kalpha</t>
  </si>
  <si>
    <t>P_kbeta</t>
  </si>
  <si>
    <t>FY(Krause)</t>
  </si>
  <si>
    <t>FY(Hubbell)</t>
  </si>
  <si>
    <t>CI</t>
  </si>
  <si>
    <t>C</t>
  </si>
  <si>
    <t>crust_mantle_mars</t>
  </si>
  <si>
    <t>mantle_mars</t>
  </si>
  <si>
    <t>H</t>
  </si>
  <si>
    <t>N</t>
  </si>
  <si>
    <t>Cl</t>
  </si>
  <si>
    <t>Jump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</si>
</sst>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.##0"/>
    <numFmt numFmtId="166" formatCode="#,##0.0000"/>
    <numFmt numFmtId="167" formatCode="#.000"/>
    <numFmt numFmtId="168" formatCode="#.###"/>
  </numFmts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6" fontId="0" fillId="0" borderId="0" xfId="0" applyNumberFormat="1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168" fontId="0" fillId="0" borderId="0" xfId="0" applyNumberFormat="1"/>
    <xf numFmtId="0" fontId="0" fillId="0" borderId="0" xfId="0" applyAlignment="1">
      <alignment vertical="center" wrapText="1"/>
    </xf>
    <xf numFmtId="11" fontId="0" fillId="0" borderId="0" xfId="0" applyNumberFormat="1"/>
    <xf numFmtId="167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D97F-A50B-4055-A4D4-2F84AC99BFF2}">
  <dimension ref="A1:AC19"/>
  <sheetViews>
    <sheetView tabSelected="1" zoomScale="97" zoomScaleNormal="130" workbookViewId="0">
      <selection activeCell="U11" sqref="U11"/>
    </sheetView>
  </sheetViews>
  <sheetFormatPr defaultColWidth="15.85546875" defaultRowHeight="15"/>
  <cols>
    <col min="1" max="1" width="10.140625" customWidth="1"/>
    <col min="2" max="2" width="6.140625" customWidth="1"/>
    <col min="3" max="3" width="6.42578125" customWidth="1"/>
    <col min="4" max="4" width="8" customWidth="1"/>
    <col min="5" max="5" width="9.85546875" customWidth="1"/>
    <col min="8" max="8" width="10.85546875" customWidth="1"/>
    <col min="9" max="9" width="7.5703125" customWidth="1"/>
    <col min="10" max="10" width="7.140625" customWidth="1"/>
    <col min="11" max="11" width="8.7109375" customWidth="1"/>
    <col min="12" max="12" width="10.140625" customWidth="1"/>
    <col min="13" max="13" width="7.5703125" customWidth="1"/>
    <col min="14" max="14" width="12.28515625" customWidth="1"/>
    <col min="15" max="15" width="9.85546875" customWidth="1"/>
    <col min="16" max="16" width="11.28515625" customWidth="1"/>
    <col min="17" max="17" width="9.42578125" customWidth="1"/>
    <col min="18" max="18" width="9.140625" customWidth="1"/>
  </cols>
  <sheetData>
    <row r="1" spans="1:29">
      <c r="A1" t="s">
        <v>0</v>
      </c>
      <c r="B1" t="s">
        <v>1</v>
      </c>
      <c r="C1" t="s">
        <v>23</v>
      </c>
      <c r="D1" t="s">
        <v>30</v>
      </c>
      <c r="E1" t="s">
        <v>31</v>
      </c>
      <c r="F1" t="s">
        <v>2</v>
      </c>
      <c r="G1" t="s">
        <v>3</v>
      </c>
      <c r="H1" t="s">
        <v>34</v>
      </c>
      <c r="I1" t="s">
        <v>19</v>
      </c>
      <c r="J1" t="s">
        <v>21</v>
      </c>
      <c r="K1" t="s">
        <v>22</v>
      </c>
      <c r="L1" t="s">
        <v>46</v>
      </c>
      <c r="M1" t="s">
        <v>20</v>
      </c>
      <c r="N1" t="s">
        <v>4</v>
      </c>
      <c r="O1" t="s">
        <v>37</v>
      </c>
      <c r="P1" t="s">
        <v>38</v>
      </c>
      <c r="Q1" t="s">
        <v>35</v>
      </c>
      <c r="R1" t="s">
        <v>36</v>
      </c>
      <c r="S1" t="s">
        <v>42</v>
      </c>
      <c r="T1" t="s">
        <v>41</v>
      </c>
      <c r="U1" t="s">
        <v>39</v>
      </c>
      <c r="V1" t="s">
        <v>32</v>
      </c>
      <c r="W1" t="s">
        <v>33</v>
      </c>
      <c r="X1" t="s">
        <v>26</v>
      </c>
      <c r="Y1" t="s">
        <v>25</v>
      </c>
      <c r="Z1" t="s">
        <v>27</v>
      </c>
      <c r="AA1" t="s">
        <v>24</v>
      </c>
      <c r="AB1" t="s">
        <v>28</v>
      </c>
      <c r="AC1" t="s">
        <v>29</v>
      </c>
    </row>
    <row r="2" spans="1:29">
      <c r="A2" t="s">
        <v>5</v>
      </c>
      <c r="B2">
        <v>28</v>
      </c>
      <c r="C2">
        <v>58.69</v>
      </c>
      <c r="D2">
        <v>-8.1000000000000003E-2</v>
      </c>
      <c r="E2">
        <v>-7.3280999999999997E-3</v>
      </c>
      <c r="F2" s="1">
        <v>8.3328000000000007</v>
      </c>
      <c r="G2" s="2">
        <v>7.4779999999999998</v>
      </c>
      <c r="H2">
        <v>8.2650000000000006</v>
      </c>
      <c r="I2" s="2">
        <v>0.879</v>
      </c>
      <c r="J2" s="2">
        <v>8.1189999999999998</v>
      </c>
      <c r="K2" s="2">
        <f>(J2-1)/J2</f>
        <v>0.87683212218253481</v>
      </c>
      <c r="L2" s="2">
        <v>7.7069999999999999</v>
      </c>
      <c r="M2" s="2">
        <f>(L2-1)/L2</f>
        <v>0.87024782665109646</v>
      </c>
      <c r="N2" s="3">
        <v>0.41</v>
      </c>
      <c r="O2" s="3">
        <v>0.40600000000000003</v>
      </c>
      <c r="P2">
        <v>0.41199999999999998</v>
      </c>
      <c r="Q2" s="3">
        <v>0.877</v>
      </c>
      <c r="R2" s="3">
        <v>0.122</v>
      </c>
      <c r="S2">
        <v>3.6000000000000002E-4</v>
      </c>
      <c r="T2">
        <v>2.9999999999999997E-4</v>
      </c>
      <c r="U2" s="6">
        <v>1.116E-2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>
      <c r="A3" t="s">
        <v>6</v>
      </c>
      <c r="B3">
        <v>26</v>
      </c>
      <c r="C3">
        <v>55.874000000000002</v>
      </c>
      <c r="D3">
        <v>-6.7799999999999999E-2</v>
      </c>
      <c r="E3">
        <v>-6.6403E-3</v>
      </c>
      <c r="F3" s="1">
        <v>7.1120000000000001</v>
      </c>
      <c r="G3" s="2">
        <v>6.4039999999999999</v>
      </c>
      <c r="H3">
        <v>7.0579999999999998</v>
      </c>
      <c r="I3" s="2">
        <v>0.88400000000000001</v>
      </c>
      <c r="J3" s="2">
        <v>8.5229999999999997</v>
      </c>
      <c r="K3" s="2">
        <f t="shared" ref="K3:K14" si="0">(J3-1)/J3</f>
        <v>0.88267042121318784</v>
      </c>
      <c r="L3" s="2">
        <v>7.8929999999999998</v>
      </c>
      <c r="M3" s="2">
        <f t="shared" ref="M3:M14" si="1">(L3-1)/L3</f>
        <v>0.87330546053465097</v>
      </c>
      <c r="N3" s="3">
        <v>0.33600000000000002</v>
      </c>
      <c r="O3" s="3">
        <v>0.34</v>
      </c>
      <c r="P3">
        <v>0.35099999999999998</v>
      </c>
      <c r="Q3" s="3">
        <v>0.877</v>
      </c>
      <c r="R3" s="3">
        <v>0.122</v>
      </c>
      <c r="S3">
        <v>0.114</v>
      </c>
      <c r="T3">
        <v>0.11799999999999999</v>
      </c>
      <c r="U3">
        <v>0.18659999999999999</v>
      </c>
      <c r="V3">
        <v>0.11737400000000001</v>
      </c>
      <c r="W3">
        <v>4.1974999999999998E-2</v>
      </c>
      <c r="X3">
        <v>0.15312999999999999</v>
      </c>
      <c r="Y3">
        <v>0.13058800000000001</v>
      </c>
      <c r="Z3">
        <v>7.0112999999999995E-2</v>
      </c>
      <c r="AA3">
        <v>1.632E-3</v>
      </c>
      <c r="AB3">
        <v>7.6953999999999995E-2</v>
      </c>
      <c r="AC3">
        <v>3.8864999999999997E-2</v>
      </c>
    </row>
    <row r="4" spans="1:29">
      <c r="A4" t="s">
        <v>7</v>
      </c>
      <c r="B4">
        <v>25</v>
      </c>
      <c r="C4">
        <v>54.938000000000002</v>
      </c>
      <c r="D4">
        <v>-6.1199999999999997E-2</v>
      </c>
      <c r="E4">
        <v>-6.2408999999999997E-3</v>
      </c>
      <c r="F4" s="1">
        <v>6.5389999999999997</v>
      </c>
      <c r="G4" s="2">
        <v>5.899</v>
      </c>
      <c r="H4">
        <v>6.4909999999999997</v>
      </c>
      <c r="I4" s="2">
        <v>0.88700000000000001</v>
      </c>
      <c r="J4" s="2">
        <v>8.7260000000000009</v>
      </c>
      <c r="K4" s="2">
        <f t="shared" si="0"/>
        <v>0.88539995415998163</v>
      </c>
      <c r="L4" s="2">
        <v>7.9989999999999997</v>
      </c>
      <c r="M4" s="2">
        <f t="shared" si="1"/>
        <v>0.87498437304663079</v>
      </c>
      <c r="N4" s="3">
        <v>0.32</v>
      </c>
      <c r="O4" s="3">
        <v>0.308</v>
      </c>
      <c r="P4">
        <v>0.31900000000000001</v>
      </c>
      <c r="Q4" s="3">
        <v>0.879</v>
      </c>
      <c r="R4" s="3">
        <v>0.121</v>
      </c>
      <c r="S4">
        <v>2.8800000000000002E-3</v>
      </c>
      <c r="T4">
        <v>2.8999999999999998E-3</v>
      </c>
      <c r="U4">
        <v>1.9599999999999999E-3</v>
      </c>
      <c r="V4">
        <v>1.704E-3</v>
      </c>
      <c r="W4">
        <v>1.549E-3</v>
      </c>
      <c r="X4">
        <v>2.091E-3</v>
      </c>
      <c r="Y4">
        <v>2.0140000000000002E-3</v>
      </c>
      <c r="Z4">
        <v>9.2900000000000003E-4</v>
      </c>
      <c r="AA4" s="7">
        <v>4.6E-5</v>
      </c>
      <c r="AB4">
        <v>1.2390000000000001E-3</v>
      </c>
      <c r="AC4">
        <v>5.0299999999999997E-4</v>
      </c>
    </row>
    <row r="5" spans="1:29">
      <c r="A5" t="s">
        <v>8</v>
      </c>
      <c r="B5">
        <v>24</v>
      </c>
      <c r="C5">
        <v>51.996000000000002</v>
      </c>
      <c r="D5">
        <v>-5.5800000000000002E-2</v>
      </c>
      <c r="E5">
        <v>-6.0769999999999999E-3</v>
      </c>
      <c r="F5" s="1">
        <v>5.9892000000000003</v>
      </c>
      <c r="G5" s="2">
        <v>5.415</v>
      </c>
      <c r="H5">
        <v>5.9470000000000001</v>
      </c>
      <c r="I5" s="2"/>
      <c r="J5" s="2">
        <v>8.9120000000000008</v>
      </c>
      <c r="K5" s="2">
        <f>(J5-1)/J5</f>
        <v>0.88779174147217232</v>
      </c>
      <c r="L5" s="2">
        <v>8.0449999999999999</v>
      </c>
      <c r="M5" s="2">
        <f t="shared" si="1"/>
        <v>0.87569919204474833</v>
      </c>
      <c r="N5" s="3">
        <v>0.28100000000000003</v>
      </c>
      <c r="O5" s="3">
        <v>0.27500000000000002</v>
      </c>
      <c r="P5">
        <v>0.28599999999999998</v>
      </c>
      <c r="Q5" s="3">
        <v>0.88300000000000001</v>
      </c>
      <c r="R5" s="3">
        <v>0.11700000000000001</v>
      </c>
      <c r="S5">
        <v>6.0000000000000001E-3</v>
      </c>
      <c r="T5">
        <v>5.0000000000000001E-3</v>
      </c>
      <c r="U5">
        <v>2.6800000000000001E-3</v>
      </c>
      <c r="V5">
        <v>2.3259999999999999E-3</v>
      </c>
      <c r="W5">
        <v>2.258E-3</v>
      </c>
      <c r="X5">
        <v>2.8050000000000002E-3</v>
      </c>
      <c r="Y5">
        <v>0</v>
      </c>
      <c r="Z5">
        <v>1.779E-3</v>
      </c>
      <c r="AA5" s="7">
        <v>2.0999999999999999E-5</v>
      </c>
      <c r="AB5">
        <v>2.4629999999999999E-3</v>
      </c>
      <c r="AC5">
        <v>7.5299999999999998E-4</v>
      </c>
    </row>
    <row r="6" spans="1:29">
      <c r="A6" t="s">
        <v>9</v>
      </c>
      <c r="B6">
        <v>22</v>
      </c>
      <c r="C6">
        <v>47.88</v>
      </c>
      <c r="D6">
        <v>-4.4999999999999998E-2</v>
      </c>
      <c r="E6">
        <v>-5.5453999999999998E-3</v>
      </c>
      <c r="F6" s="1">
        <v>4.9664000000000001</v>
      </c>
      <c r="G6" s="2">
        <v>4.5110000000000001</v>
      </c>
      <c r="H6">
        <v>4.9320000000000004</v>
      </c>
      <c r="I6" s="2">
        <v>0.89400000000000002</v>
      </c>
      <c r="J6" s="2">
        <v>9.2769999999999992</v>
      </c>
      <c r="K6" s="2">
        <f t="shared" si="0"/>
        <v>0.89220653228414359</v>
      </c>
      <c r="L6" s="2">
        <v>8.3659999999999997</v>
      </c>
      <c r="M6" s="2">
        <f t="shared" si="1"/>
        <v>0.88046856323213007</v>
      </c>
      <c r="N6" s="3">
        <v>0.20799999999999999</v>
      </c>
      <c r="O6" s="3">
        <v>0.214</v>
      </c>
      <c r="P6">
        <v>0.218</v>
      </c>
      <c r="Q6" s="3">
        <v>0.88</v>
      </c>
      <c r="R6" s="3">
        <v>0.11899999999999999</v>
      </c>
      <c r="S6">
        <v>1.01E-3</v>
      </c>
      <c r="T6">
        <v>2E-3</v>
      </c>
      <c r="U6">
        <v>4.4700000000000002E-4</v>
      </c>
      <c r="V6">
        <v>1.7979999999999999E-2</v>
      </c>
      <c r="W6">
        <v>3.2360000000000002E-3</v>
      </c>
      <c r="X6">
        <v>7.7914999999999998E-2</v>
      </c>
      <c r="Y6">
        <v>1.5583E-2</v>
      </c>
      <c r="Z6">
        <v>1.1388000000000001E-2</v>
      </c>
      <c r="AA6">
        <v>1.2E-4</v>
      </c>
      <c r="AB6">
        <v>1.9780000000000002E-3</v>
      </c>
      <c r="AC6">
        <v>2.9999999999999997E-4</v>
      </c>
    </row>
    <row r="7" spans="1:29">
      <c r="A7" t="s">
        <v>10</v>
      </c>
      <c r="B7">
        <v>20</v>
      </c>
      <c r="C7">
        <v>40.08</v>
      </c>
      <c r="D7">
        <v>-3.5999999999999997E-2</v>
      </c>
      <c r="E7">
        <v>-5.4748000000000002E-3</v>
      </c>
      <c r="F7" s="1">
        <v>4.0381</v>
      </c>
      <c r="G7" s="2">
        <v>3.6920000000000002</v>
      </c>
      <c r="H7">
        <v>4.0129999999999999</v>
      </c>
      <c r="I7" s="2">
        <v>0.89700000000000002</v>
      </c>
      <c r="J7" s="2">
        <v>9.6129999999999995</v>
      </c>
      <c r="K7" s="2">
        <f t="shared" si="0"/>
        <v>0.89597420160199726</v>
      </c>
      <c r="L7" s="2">
        <v>8.7439999999999998</v>
      </c>
      <c r="M7" s="2">
        <f t="shared" si="1"/>
        <v>0.8856358645928637</v>
      </c>
      <c r="N7" s="3">
        <v>0.151</v>
      </c>
      <c r="O7" s="3">
        <v>0.16300000000000001</v>
      </c>
      <c r="P7">
        <v>0.14699999999999999</v>
      </c>
      <c r="Q7" s="3">
        <v>0.88400000000000001</v>
      </c>
      <c r="R7" s="3">
        <v>0.11600000000000001</v>
      </c>
      <c r="S7">
        <v>2.06E-2</v>
      </c>
      <c r="T7">
        <v>2.5999999999999999E-2</v>
      </c>
      <c r="U7">
        <v>9.3100000000000006E-3</v>
      </c>
      <c r="V7">
        <v>7.6471999999999998E-2</v>
      </c>
      <c r="W7">
        <v>0.112207</v>
      </c>
      <c r="X7">
        <v>7.6471999999999998E-2</v>
      </c>
      <c r="Y7">
        <v>8.0046000000000006E-2</v>
      </c>
      <c r="Z7">
        <v>6.7395999999999998E-2</v>
      </c>
      <c r="AA7">
        <v>0.14579800000000001</v>
      </c>
      <c r="AB7">
        <v>6.5036999999999998E-2</v>
      </c>
      <c r="AC7">
        <v>7.7187000000000006E-2</v>
      </c>
    </row>
    <row r="8" spans="1:29">
      <c r="A8" t="s">
        <v>11</v>
      </c>
      <c r="B8">
        <v>19</v>
      </c>
      <c r="C8">
        <v>39.098300000000002</v>
      </c>
      <c r="D8">
        <v>-3.1800000000000002E-2</v>
      </c>
      <c r="E8">
        <v>-5.0651000000000003E-3</v>
      </c>
      <c r="F8" s="1">
        <v>3.6074000000000002</v>
      </c>
      <c r="G8" s="2">
        <v>3.3140000000000001</v>
      </c>
      <c r="H8">
        <v>3.59</v>
      </c>
      <c r="I8" s="2">
        <v>0.89900000000000002</v>
      </c>
      <c r="J8" s="2">
        <v>9.7170000000000005</v>
      </c>
      <c r="K8" s="2">
        <f t="shared" si="0"/>
        <v>0.8970875784707214</v>
      </c>
      <c r="L8" s="2">
        <v>9.1630000000000003</v>
      </c>
      <c r="M8" s="2">
        <f t="shared" si="1"/>
        <v>0.89086543708392452</v>
      </c>
      <c r="N8" s="8">
        <v>0.13200000000000001</v>
      </c>
      <c r="O8" s="8">
        <v>0.14000000000000001</v>
      </c>
      <c r="P8">
        <v>0.13200000000000001</v>
      </c>
      <c r="Q8" s="3">
        <v>0.89100000000000001</v>
      </c>
      <c r="R8" s="3">
        <v>0.108</v>
      </c>
      <c r="S8">
        <v>3.6000000000000002E-4</v>
      </c>
      <c r="T8">
        <v>1E-3</v>
      </c>
      <c r="U8">
        <v>5.4600000000000004E-4</v>
      </c>
      <c r="V8">
        <v>2.5730000000000002E-3</v>
      </c>
      <c r="W8">
        <v>1.4109999999999999E-3</v>
      </c>
      <c r="X8">
        <v>4.15E-4</v>
      </c>
      <c r="Y8">
        <v>8.3000000000000001E-4</v>
      </c>
      <c r="Z8">
        <v>4.4000000000000003E-3</v>
      </c>
      <c r="AA8">
        <v>1.25E-4</v>
      </c>
      <c r="AB8">
        <v>1.436E-3</v>
      </c>
      <c r="AC8">
        <v>2.32E-4</v>
      </c>
    </row>
    <row r="9" spans="1:29">
      <c r="A9" t="s">
        <v>45</v>
      </c>
      <c r="B9">
        <v>17</v>
      </c>
      <c r="C9">
        <v>35.453000000000003</v>
      </c>
      <c r="D9">
        <v>-2.46E-2</v>
      </c>
      <c r="E9">
        <v>-4.4717999999999997E-3</v>
      </c>
      <c r="F9" s="9">
        <v>2.8224</v>
      </c>
      <c r="G9" s="2">
        <v>2.6219999999999999</v>
      </c>
      <c r="H9">
        <v>2.8159999999999998</v>
      </c>
      <c r="I9" s="2"/>
      <c r="J9" s="2"/>
      <c r="K9" s="2"/>
      <c r="L9" s="2">
        <v>9.3089999999999993</v>
      </c>
      <c r="M9" s="2">
        <f t="shared" si="1"/>
        <v>0.89257707594800728</v>
      </c>
      <c r="N9" s="8">
        <v>8.8999999999999996E-2</v>
      </c>
      <c r="O9" s="8">
        <v>9.7000000000000003E-2</v>
      </c>
      <c r="P9">
        <v>8.8999999999999996E-2</v>
      </c>
      <c r="Q9" s="3">
        <v>0.92</v>
      </c>
      <c r="R9" s="3">
        <v>0.08</v>
      </c>
      <c r="S9">
        <v>0</v>
      </c>
      <c r="U9">
        <v>1.15E-4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9">
      <c r="A10" t="s">
        <v>12</v>
      </c>
      <c r="B10">
        <v>16</v>
      </c>
      <c r="C10">
        <v>32.06</v>
      </c>
      <c r="D10">
        <v>-2.1000000000000001E-2</v>
      </c>
      <c r="E10">
        <v>-4.3803999999999996E-3</v>
      </c>
      <c r="F10" s="1">
        <v>2.472</v>
      </c>
      <c r="G10" s="2">
        <v>2.3079999999999998</v>
      </c>
      <c r="H10" s="6">
        <v>2.464</v>
      </c>
      <c r="I10" s="2"/>
      <c r="J10" s="2">
        <v>10.907</v>
      </c>
      <c r="K10" s="2">
        <f t="shared" si="0"/>
        <v>0.90831576052076646</v>
      </c>
      <c r="L10" s="2">
        <v>9.6129999999999995</v>
      </c>
      <c r="M10" s="2">
        <f t="shared" si="1"/>
        <v>0.89597420160199726</v>
      </c>
      <c r="N10" s="3">
        <v>7.0000000000000007E-2</v>
      </c>
      <c r="O10" s="3">
        <v>7.8E-2</v>
      </c>
      <c r="P10">
        <v>7.0999999999999994E-2</v>
      </c>
      <c r="Q10" s="3">
        <v>0.93799999999999994</v>
      </c>
      <c r="R10" s="3">
        <v>6.2E-2</v>
      </c>
      <c r="S10">
        <v>3.6000000000000002E-4</v>
      </c>
      <c r="T10">
        <v>6.0000000000000001E-3</v>
      </c>
      <c r="U10">
        <v>5.3499999999999999E-2</v>
      </c>
      <c r="V10">
        <v>0</v>
      </c>
      <c r="W10">
        <v>6.9999999999999999E-4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>
      <c r="A11" t="s">
        <v>13</v>
      </c>
      <c r="B11">
        <v>15</v>
      </c>
      <c r="C11">
        <v>30.973800000000001</v>
      </c>
      <c r="D11">
        <v>-1.7999999999999999E-2</v>
      </c>
      <c r="E11">
        <v>-3.9849999999999998E-3</v>
      </c>
      <c r="F11" s="1">
        <v>2.1455000000000002</v>
      </c>
      <c r="G11" s="2">
        <v>2.0139999999999998</v>
      </c>
      <c r="H11">
        <v>2.1389999999999998</v>
      </c>
      <c r="J11" s="2">
        <v>11.42</v>
      </c>
      <c r="K11" s="2">
        <f t="shared" si="0"/>
        <v>0.91243432574430827</v>
      </c>
      <c r="L11" s="2">
        <v>9.9689999999999994</v>
      </c>
      <c r="M11" s="2">
        <f t="shared" si="1"/>
        <v>0.89968903601163608</v>
      </c>
      <c r="N11">
        <v>6.0999999999999999E-2</v>
      </c>
      <c r="O11">
        <v>6.3E-2</v>
      </c>
      <c r="P11">
        <v>6.0999999999999999E-2</v>
      </c>
      <c r="Q11" s="3">
        <v>0.95499999999999996</v>
      </c>
      <c r="R11" s="3">
        <v>4.4999999999999998E-2</v>
      </c>
      <c r="S11">
        <v>7.3999999999999999E-4</v>
      </c>
      <c r="T11">
        <v>1.4E-3</v>
      </c>
      <c r="U11">
        <v>1.01E-3</v>
      </c>
      <c r="V11">
        <v>2.2539999999999999E-3</v>
      </c>
      <c r="W11">
        <v>6.2E-4</v>
      </c>
      <c r="X11">
        <v>0</v>
      </c>
      <c r="Y11">
        <v>0</v>
      </c>
      <c r="Z11">
        <v>2.4229999999999998E-3</v>
      </c>
      <c r="AA11">
        <v>0</v>
      </c>
      <c r="AB11">
        <v>4.7899999999999999E-4</v>
      </c>
      <c r="AC11">
        <v>1.01E-4</v>
      </c>
    </row>
    <row r="12" spans="1:29">
      <c r="A12" t="s">
        <v>14</v>
      </c>
      <c r="B12">
        <v>14</v>
      </c>
      <c r="C12">
        <v>28.0855</v>
      </c>
      <c r="D12">
        <v>-1.5599999999999999E-2</v>
      </c>
      <c r="E12">
        <v>-3.8284E-3</v>
      </c>
      <c r="F12" s="1">
        <v>1.8389</v>
      </c>
      <c r="G12" s="2">
        <v>1.74</v>
      </c>
      <c r="H12">
        <v>1.8360000000000001</v>
      </c>
      <c r="I12" s="2">
        <v>0.91700000000000004</v>
      </c>
      <c r="J12" s="2">
        <v>11.858000000000001</v>
      </c>
      <c r="K12" s="2">
        <f t="shared" si="0"/>
        <v>0.91566874683757804</v>
      </c>
      <c r="L12" s="2">
        <v>10.37</v>
      </c>
      <c r="M12" s="2">
        <f t="shared" si="1"/>
        <v>0.9035679845708775</v>
      </c>
      <c r="N12">
        <v>4.8000000000000001E-2</v>
      </c>
      <c r="O12">
        <v>0.05</v>
      </c>
      <c r="P12">
        <v>4.2999999999999997E-2</v>
      </c>
      <c r="Q12" s="3">
        <v>0.97099999999999997</v>
      </c>
      <c r="R12" s="3">
        <v>2.9000000000000001E-2</v>
      </c>
      <c r="S12">
        <v>0.21299999999999999</v>
      </c>
      <c r="T12">
        <v>0.214</v>
      </c>
      <c r="U12">
        <v>0.107</v>
      </c>
      <c r="V12">
        <v>0.216423</v>
      </c>
      <c r="W12">
        <v>0.21034700000000001</v>
      </c>
      <c r="X12">
        <v>0.17669099999999999</v>
      </c>
      <c r="Y12">
        <v>0.216891</v>
      </c>
      <c r="Z12">
        <v>0.24540400000000001</v>
      </c>
      <c r="AA12">
        <v>0.208009</v>
      </c>
      <c r="AB12">
        <v>0.24073</v>
      </c>
      <c r="AC12">
        <v>0.20099800000000001</v>
      </c>
    </row>
    <row r="13" spans="1:29">
      <c r="A13" t="s">
        <v>15</v>
      </c>
      <c r="B13">
        <v>13</v>
      </c>
      <c r="C13">
        <v>26.9815</v>
      </c>
      <c r="D13">
        <v>-1.26E-2</v>
      </c>
      <c r="E13">
        <v>-3.4361000000000001E-3</v>
      </c>
      <c r="F13" s="1">
        <v>1.5596000000000001</v>
      </c>
      <c r="G13" s="2">
        <v>1.4870000000000001</v>
      </c>
      <c r="H13">
        <v>1.5580000000000001</v>
      </c>
      <c r="I13" s="2">
        <v>0.92</v>
      </c>
      <c r="J13" s="2">
        <v>12.346</v>
      </c>
      <c r="K13" s="2">
        <f t="shared" si="0"/>
        <v>0.91900210594524545</v>
      </c>
      <c r="L13" s="2">
        <v>10.95</v>
      </c>
      <c r="M13" s="2">
        <f t="shared" si="1"/>
        <v>0.908675799086758</v>
      </c>
      <c r="N13">
        <v>3.3000000000000002E-2</v>
      </c>
      <c r="O13">
        <v>3.9E-2</v>
      </c>
      <c r="P13">
        <v>3.8699999999999998E-2</v>
      </c>
      <c r="Q13" s="3">
        <v>0.98599999999999999</v>
      </c>
      <c r="R13" s="3">
        <v>1.2999999999999999E-2</v>
      </c>
      <c r="S13">
        <v>1.9E-2</v>
      </c>
      <c r="T13">
        <v>2.5999999999999999E-2</v>
      </c>
      <c r="U13">
        <v>8.5900000000000004E-3</v>
      </c>
      <c r="V13">
        <v>6.8274000000000001E-2</v>
      </c>
      <c r="W13">
        <v>0.144487</v>
      </c>
      <c r="X13">
        <v>4.6574999999999998E-2</v>
      </c>
      <c r="Y13">
        <v>7.1999999999999995E-2</v>
      </c>
      <c r="Z13">
        <v>8.9443999999999996E-2</v>
      </c>
      <c r="AA13">
        <v>0.188415</v>
      </c>
      <c r="AB13">
        <v>7.9389000000000001E-2</v>
      </c>
      <c r="AC13">
        <v>0.105322</v>
      </c>
    </row>
    <row r="14" spans="1:29">
      <c r="A14" t="s">
        <v>16</v>
      </c>
      <c r="B14">
        <v>12</v>
      </c>
      <c r="C14">
        <v>24.305</v>
      </c>
      <c r="D14">
        <v>-1.0800000000000001E-2</v>
      </c>
      <c r="E14">
        <v>-3.2502E-3</v>
      </c>
      <c r="F14" s="1">
        <v>1.3049999999999999</v>
      </c>
      <c r="G14" s="2">
        <v>1.254</v>
      </c>
      <c r="H14">
        <v>1.302</v>
      </c>
      <c r="I14" s="2">
        <v>0.92500000000000004</v>
      </c>
      <c r="J14" s="2">
        <v>13.087999999999999</v>
      </c>
      <c r="K14" s="2">
        <f t="shared" si="0"/>
        <v>0.92359413202933982</v>
      </c>
      <c r="L14" s="4">
        <v>12.02</v>
      </c>
      <c r="M14" s="2">
        <f t="shared" si="1"/>
        <v>0.91680532445923457</v>
      </c>
      <c r="N14" s="5">
        <v>2.7E-2</v>
      </c>
      <c r="O14" s="5">
        <v>0.03</v>
      </c>
      <c r="P14">
        <v>2.5999999999999999E-2</v>
      </c>
      <c r="Q14" s="3">
        <v>1</v>
      </c>
      <c r="R14" s="3">
        <v>0</v>
      </c>
      <c r="S14">
        <v>0.187</v>
      </c>
      <c r="T14">
        <v>0.158</v>
      </c>
      <c r="U14">
        <v>9.5399999999999999E-2</v>
      </c>
      <c r="V14">
        <v>5.6083000000000001E-2</v>
      </c>
      <c r="W14">
        <v>3.4373000000000001E-2</v>
      </c>
      <c r="X14">
        <v>5.0656E-2</v>
      </c>
      <c r="Y14">
        <v>5.1258999999999999E-2</v>
      </c>
      <c r="Z14">
        <v>4.7218000000000003E-2</v>
      </c>
      <c r="AA14">
        <v>1.5679999999999999E-3</v>
      </c>
      <c r="AB14">
        <v>7.5380000000000003E-2</v>
      </c>
      <c r="AC14">
        <v>0.12060800000000001</v>
      </c>
    </row>
    <row r="15" spans="1:29">
      <c r="A15" t="s">
        <v>17</v>
      </c>
      <c r="B15">
        <v>11</v>
      </c>
      <c r="C15">
        <v>22.989799999999999</v>
      </c>
      <c r="D15">
        <v>-8.3999999999999995E-3</v>
      </c>
      <c r="E15">
        <v>-2.8873000000000002E-3</v>
      </c>
      <c r="F15" s="1">
        <v>1.0721000000000001</v>
      </c>
      <c r="G15">
        <v>1.0409999999999999</v>
      </c>
      <c r="H15">
        <v>1.071</v>
      </c>
      <c r="L15" s="2">
        <v>11.84</v>
      </c>
      <c r="M15" s="2">
        <f t="shared" ref="M15:M19" si="2">(L15-1)/L15</f>
        <v>0.91554054054054057</v>
      </c>
      <c r="N15">
        <v>2.1000000000000001E-2</v>
      </c>
      <c r="O15">
        <v>2.3E-2</v>
      </c>
      <c r="P15">
        <v>2.1000000000000001E-2</v>
      </c>
      <c r="Q15" s="3">
        <v>1</v>
      </c>
      <c r="R15" s="3">
        <v>0</v>
      </c>
      <c r="S15">
        <v>4.3800000000000002E-3</v>
      </c>
      <c r="T15">
        <v>8.0000000000000002E-3</v>
      </c>
      <c r="U15">
        <v>5.0699999999999999E-3</v>
      </c>
      <c r="V15">
        <v>4.006E-3</v>
      </c>
      <c r="W15">
        <v>3.4129999999999998E-3</v>
      </c>
      <c r="X15">
        <v>2.6710000000000002E-3</v>
      </c>
      <c r="Y15">
        <v>0</v>
      </c>
      <c r="Z15">
        <v>6.4539999999999997E-3</v>
      </c>
      <c r="AA15">
        <v>2.6710000000000002E-3</v>
      </c>
      <c r="AB15">
        <v>2.967E-3</v>
      </c>
      <c r="AC15">
        <v>1.7060000000000001E-3</v>
      </c>
    </row>
    <row r="16" spans="1:29">
      <c r="A16" t="s">
        <v>18</v>
      </c>
      <c r="B16">
        <v>8</v>
      </c>
      <c r="C16">
        <v>15.9994</v>
      </c>
      <c r="D16">
        <v>-4.1999999999999997E-3</v>
      </c>
      <c r="E16">
        <v>-2.1944E-3</v>
      </c>
      <c r="F16" s="1">
        <v>0.53200000000000003</v>
      </c>
      <c r="G16">
        <v>0.52500000000000002</v>
      </c>
      <c r="L16" s="2">
        <v>15.4</v>
      </c>
      <c r="M16" s="2">
        <f t="shared" si="2"/>
        <v>0.93506493506493504</v>
      </c>
      <c r="N16">
        <v>6.0000000000000001E-3</v>
      </c>
      <c r="O16">
        <v>8.0000000000000002E-3</v>
      </c>
      <c r="Q16" s="3">
        <v>1</v>
      </c>
      <c r="R16" s="3">
        <v>0</v>
      </c>
      <c r="S16">
        <v>0.432</v>
      </c>
      <c r="T16">
        <v>0.46100000000000002</v>
      </c>
      <c r="U16">
        <v>0.45900000000000002</v>
      </c>
      <c r="V16">
        <v>0.42563000000000001</v>
      </c>
      <c r="W16">
        <v>0.45322400000000002</v>
      </c>
      <c r="X16">
        <v>0.40547899999999998</v>
      </c>
      <c r="Y16">
        <v>0.440946</v>
      </c>
      <c r="Z16">
        <v>0.45095099999999999</v>
      </c>
      <c r="AA16">
        <v>0.465335</v>
      </c>
      <c r="AB16">
        <v>0.44702799999999998</v>
      </c>
      <c r="AC16">
        <v>0.44543300000000002</v>
      </c>
    </row>
    <row r="17" spans="1:29">
      <c r="A17" t="s">
        <v>44</v>
      </c>
      <c r="B17">
        <v>7</v>
      </c>
      <c r="C17">
        <v>14.0067</v>
      </c>
      <c r="D17">
        <v>-3.0000000000000001E-3</v>
      </c>
      <c r="E17">
        <v>-1.9191E-3</v>
      </c>
      <c r="F17" s="1">
        <v>0.40160000000000001</v>
      </c>
      <c r="G17">
        <v>0.39200000000000002</v>
      </c>
      <c r="L17" s="2">
        <v>17.440000000000001</v>
      </c>
      <c r="M17" s="2">
        <f t="shared" si="2"/>
        <v>0.94266055045871555</v>
      </c>
      <c r="N17">
        <v>3.0000000000000001E-3</v>
      </c>
      <c r="O17">
        <v>5.0000000000000001E-3</v>
      </c>
      <c r="Q17" s="3">
        <v>1</v>
      </c>
      <c r="R17" s="3">
        <v>0</v>
      </c>
      <c r="S17">
        <v>0</v>
      </c>
      <c r="U17">
        <v>3.0100000000000001E-3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 t="s">
        <v>40</v>
      </c>
      <c r="B18">
        <v>6</v>
      </c>
      <c r="C18">
        <v>12.010999999999999</v>
      </c>
      <c r="D18">
        <v>-1.8E-3</v>
      </c>
      <c r="E18">
        <v>-1.6442E-3</v>
      </c>
      <c r="F18" s="1">
        <v>0.2838</v>
      </c>
      <c r="G18">
        <v>0.27700000000000002</v>
      </c>
      <c r="L18">
        <v>19.02</v>
      </c>
      <c r="M18" s="2">
        <f t="shared" si="2"/>
        <v>0.94742376445846477</v>
      </c>
      <c r="N18">
        <v>1E-3</v>
      </c>
      <c r="O18">
        <v>3.0000000000000001E-3</v>
      </c>
      <c r="Q18" s="3">
        <v>1</v>
      </c>
      <c r="R18" s="3">
        <v>0</v>
      </c>
      <c r="S18">
        <v>0</v>
      </c>
      <c r="U18">
        <v>3.56E-2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 t="s">
        <v>43</v>
      </c>
      <c r="B19">
        <v>1</v>
      </c>
      <c r="C19">
        <v>1.008</v>
      </c>
      <c r="D19">
        <v>0</v>
      </c>
      <c r="E19">
        <v>-5.4423000000000004E-4</v>
      </c>
      <c r="F19">
        <v>1.3599999999999999E-2</v>
      </c>
      <c r="L19">
        <v>1</v>
      </c>
      <c r="M19" s="2">
        <f t="shared" si="2"/>
        <v>0</v>
      </c>
      <c r="S19">
        <v>0</v>
      </c>
      <c r="U19">
        <v>2.0160000000000001E-2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TREVISAN SARA [SM2300553]</dc:creator>
  <cp:lastModifiedBy>TREVISAN SARA [INT-PHD1100002]</cp:lastModifiedBy>
  <dcterms:created xsi:type="dcterms:W3CDTF">2024-07-11T16:31:47Z</dcterms:created>
  <dcterms:modified xsi:type="dcterms:W3CDTF">2025-11-30T12:29:34Z</dcterms:modified>
</cp:coreProperties>
</file>