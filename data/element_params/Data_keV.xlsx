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oglio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00"/>
    <numFmt numFmtId="166" formatCode="#.##0"/>
    <numFmt numFmtId="167" formatCode="#.###"/>
    <numFmt numFmtId="168" formatCode="#.000"/>
  </numFmts>
  <fonts count="2">
    <font>
      <name val="Aptos Narrow"/>
      <family val="2"/>
      <color theme="1"/>
      <sz val="11"/>
      <scheme val="minor"/>
    </font>
    <font>
      <name val="Arial Unicode MS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vertical="center" wrapText="1"/>
    </xf>
    <xf numFmtId="11" fontId="0" fillId="0" borderId="0" pivotButton="0" quotePrefix="0" xfId="0"/>
    <xf numFmtId="168" fontId="0" fillId="0" borderId="0" pivotButton="0" quotePrefix="0" xfId="0"/>
    <xf numFmtId="0" fontId="1" fillId="0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7" fontId="0" fillId="0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9"/>
  <sheetViews>
    <sheetView tabSelected="1" zoomScale="97" zoomScaleNormal="130" workbookViewId="0">
      <selection activeCell="U11" sqref="U11"/>
    </sheetView>
  </sheetViews>
  <sheetFormatPr baseColWidth="8" defaultColWidth="15.85546875" defaultRowHeight="15"/>
  <cols>
    <col width="10.140625" customWidth="1" min="1" max="1"/>
    <col width="6.140625" customWidth="1" min="2" max="2"/>
    <col width="6.42578125" customWidth="1" min="3" max="3"/>
    <col width="8" customWidth="1" min="4" max="4"/>
    <col width="9.85546875" customWidth="1" min="5" max="5"/>
    <col width="10.85546875" customWidth="1" min="8" max="8"/>
    <col width="7.5703125" customWidth="1" min="9" max="9"/>
    <col width="7.140625" customWidth="1" min="10" max="10"/>
    <col width="8.7109375" customWidth="1" min="11" max="11"/>
    <col width="10.140625" customWidth="1" min="12" max="12"/>
    <col width="7.5703125" customWidth="1" min="13" max="13"/>
    <col width="12.28515625" customWidth="1" min="14" max="14"/>
    <col width="9.85546875" customWidth="1" min="15" max="15"/>
    <col width="11.28515625" customWidth="1" min="16" max="16"/>
    <col width="9.42578125" customWidth="1" min="17" max="17"/>
    <col width="9.140625" customWidth="1" min="18" max="18"/>
  </cols>
  <sheetData>
    <row r="1">
      <c r="A1" t="inlineStr">
        <is>
          <t>Element</t>
        </is>
      </c>
      <c r="B1" t="inlineStr">
        <is>
          <t>Atomic Number</t>
        </is>
      </c>
      <c r="C1" t="inlineStr">
        <is>
          <t>Atomic Mass</t>
        </is>
      </c>
      <c r="D1" t="inlineStr">
        <is>
          <t>f_REL</t>
        </is>
      </c>
      <c r="E1" t="inlineStr">
        <is>
          <t>f_NT</t>
        </is>
      </c>
      <c r="F1" t="inlineStr">
        <is>
          <t>Absorption Edge</t>
        </is>
      </c>
      <c r="G1" t="inlineStr">
        <is>
          <t>K-Alpha Line</t>
        </is>
      </c>
      <c r="H1" t="inlineStr">
        <is>
          <t>K-beta Line</t>
        </is>
      </c>
      <c r="I1" t="inlineStr">
        <is>
          <t>R</t>
        </is>
      </c>
      <c r="J1" t="inlineStr">
        <is>
          <t>r1</t>
        </is>
      </c>
      <c r="K1" t="inlineStr">
        <is>
          <t>r1-1/r1</t>
        </is>
      </c>
      <c r="L1" t="inlineStr">
        <is>
          <t>Jump Factor</t>
        </is>
      </c>
      <c r="M1" t="inlineStr">
        <is>
          <t>r-1/r</t>
        </is>
      </c>
      <c r="N1" t="inlineStr">
        <is>
          <t>Fluorescence Yield</t>
        </is>
      </c>
      <c r="O1" t="inlineStr">
        <is>
          <t>FY(Krause)</t>
        </is>
      </c>
      <c r="P1" t="inlineStr">
        <is>
          <t>FY(Hubbell)</t>
        </is>
      </c>
      <c r="Q1" t="inlineStr">
        <is>
          <t>P_kalpha</t>
        </is>
      </c>
      <c r="R1" t="inlineStr">
        <is>
          <t>P_kbeta</t>
        </is>
      </c>
      <c r="S1" t="inlineStr">
        <is>
          <t>mantle_mars</t>
        </is>
      </c>
      <c r="T1" t="inlineStr">
        <is>
          <t>crust_mantle_mars</t>
        </is>
      </c>
      <c r="U1" t="inlineStr">
        <is>
          <t>CI</t>
        </is>
      </c>
      <c r="V1" t="inlineStr">
        <is>
          <t>A12</t>
        </is>
      </c>
      <c r="W1" t="inlineStr">
        <is>
          <t>A16</t>
        </is>
      </c>
      <c r="X1" t="inlineStr">
        <is>
          <t>Ht</t>
        </is>
      </c>
      <c r="Y1" t="inlineStr">
        <is>
          <t>Ha</t>
        </is>
      </c>
      <c r="Z1" t="inlineStr">
        <is>
          <t>Kr</t>
        </is>
      </c>
      <c r="AA1" t="inlineStr">
        <is>
          <t>Fa</t>
        </is>
      </c>
      <c r="AB1" t="inlineStr">
        <is>
          <t>Nr</t>
        </is>
      </c>
      <c r="AC1" t="inlineStr">
        <is>
          <t>Tc</t>
        </is>
      </c>
      <c r="AD1" t="inlineStr">
        <is>
          <t>soil_14163</t>
        </is>
      </c>
    </row>
    <row r="2">
      <c r="A2" t="inlineStr">
        <is>
          <t>H</t>
        </is>
      </c>
      <c r="B2" t="n">
        <v>1</v>
      </c>
      <c r="C2" t="n">
        <v>1.008</v>
      </c>
      <c r="D2" t="n">
        <v>0</v>
      </c>
      <c r="E2" t="n">
        <v>-0.00054423</v>
      </c>
      <c r="F2" s="10" t="n">
        <v>0.0136</v>
      </c>
      <c r="G2" s="11" t="n"/>
      <c r="I2" s="11" t="n"/>
      <c r="J2" s="11" t="n"/>
      <c r="K2" s="11" t="n"/>
      <c r="L2" s="11" t="n">
        <v>1</v>
      </c>
      <c r="M2" s="11">
        <f>(L19-1)/L19</f>
        <v/>
      </c>
      <c r="N2" s="12" t="n"/>
      <c r="O2" s="12" t="n"/>
      <c r="Q2" s="12" t="n"/>
      <c r="R2" s="12" t="n"/>
      <c r="S2" t="n">
        <v>0</v>
      </c>
      <c r="U2" s="6" t="n">
        <v>0.02016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t="inlineStr">
        <is>
          <t>He</t>
        </is>
      </c>
      <c r="B3" t="n">
        <v>2</v>
      </c>
      <c r="C3" t="n">
        <v>4.002602</v>
      </c>
      <c r="F3" s="10" t="n"/>
      <c r="G3" s="11" t="n"/>
      <c r="I3" s="11" t="n"/>
      <c r="J3" s="11" t="n"/>
      <c r="K3" s="11" t="n"/>
      <c r="L3" s="11" t="n"/>
      <c r="M3" s="11" t="n"/>
      <c r="N3" s="12" t="n"/>
      <c r="O3" s="12" t="n"/>
      <c r="Q3" s="12" t="n"/>
      <c r="R3" s="12" t="n"/>
    </row>
    <row r="4">
      <c r="A4" t="inlineStr">
        <is>
          <t>Li</t>
        </is>
      </c>
      <c r="B4" t="n">
        <v>3</v>
      </c>
      <c r="C4" t="n">
        <v>6.94</v>
      </c>
      <c r="F4" s="10" t="n"/>
      <c r="G4" s="11" t="n"/>
      <c r="I4" s="11" t="n"/>
      <c r="J4" s="11" t="n"/>
      <c r="K4" s="11" t="n"/>
      <c r="L4" s="11" t="n"/>
      <c r="M4" s="11" t="n"/>
      <c r="N4" s="12" t="n"/>
      <c r="O4" s="12" t="n"/>
      <c r="Q4" s="12" t="n"/>
      <c r="R4" s="12" t="n"/>
      <c r="AA4" s="7" t="n"/>
    </row>
    <row r="5">
      <c r="A5" t="inlineStr">
        <is>
          <t>Be</t>
        </is>
      </c>
      <c r="B5" t="n">
        <v>4</v>
      </c>
      <c r="C5" t="n">
        <v>9.0121831</v>
      </c>
      <c r="F5" s="10" t="n"/>
      <c r="G5" s="11" t="n"/>
      <c r="I5" s="11" t="n"/>
      <c r="J5" s="11" t="n"/>
      <c r="K5" s="11" t="n"/>
      <c r="L5" s="11" t="n"/>
      <c r="M5" s="11" t="n"/>
      <c r="N5" s="12" t="n"/>
      <c r="O5" s="12" t="n"/>
      <c r="Q5" s="12" t="n"/>
      <c r="R5" s="12" t="n"/>
      <c r="AA5" s="7" t="n"/>
    </row>
    <row r="6">
      <c r="A6" t="inlineStr">
        <is>
          <t>B</t>
        </is>
      </c>
      <c r="B6" t="n">
        <v>5</v>
      </c>
      <c r="C6" t="n">
        <v>10.81</v>
      </c>
      <c r="F6" s="10" t="n"/>
      <c r="G6" s="11" t="n"/>
      <c r="I6" s="11" t="n"/>
      <c r="J6" s="11" t="n"/>
      <c r="K6" s="11" t="n"/>
      <c r="L6" s="11" t="n"/>
      <c r="M6" s="11" t="n"/>
      <c r="N6" s="12" t="n"/>
      <c r="O6" s="12" t="n"/>
      <c r="Q6" s="12" t="n"/>
      <c r="R6" s="12" t="n"/>
    </row>
    <row r="7">
      <c r="A7" t="inlineStr">
        <is>
          <t>C</t>
        </is>
      </c>
      <c r="B7" t="n">
        <v>6</v>
      </c>
      <c r="C7" t="n">
        <v>12.011</v>
      </c>
      <c r="D7" t="n">
        <v>-0.0018</v>
      </c>
      <c r="E7" t="n">
        <v>-0.0016442</v>
      </c>
      <c r="F7" s="10" t="n">
        <v>0.2838</v>
      </c>
      <c r="G7" s="11" t="n">
        <v>0.277</v>
      </c>
      <c r="I7" s="11" t="n"/>
      <c r="J7" s="11" t="n"/>
      <c r="K7" s="11" t="n"/>
      <c r="L7" s="11" t="n">
        <v>19.02</v>
      </c>
      <c r="M7" s="11">
        <f>(L18-1)/L18</f>
        <v/>
      </c>
      <c r="N7" s="12" t="n">
        <v>0.001</v>
      </c>
      <c r="O7" s="12" t="n">
        <v>0.003</v>
      </c>
      <c r="Q7" s="12" t="n">
        <v>1</v>
      </c>
      <c r="R7" s="12" t="n">
        <v>0</v>
      </c>
      <c r="S7" t="n">
        <v>0</v>
      </c>
      <c r="U7" t="n">
        <v>0.0356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</row>
    <row r="8">
      <c r="A8" t="inlineStr">
        <is>
          <t>N</t>
        </is>
      </c>
      <c r="B8" t="n">
        <v>7</v>
      </c>
      <c r="C8" t="n">
        <v>14.007</v>
      </c>
      <c r="D8" t="n">
        <v>-0.003</v>
      </c>
      <c r="E8" t="n">
        <v>-0.0019191</v>
      </c>
      <c r="F8" s="10" t="n">
        <v>0.4016</v>
      </c>
      <c r="G8" s="11" t="n">
        <v>0.392</v>
      </c>
      <c r="I8" s="11" t="n"/>
      <c r="J8" s="11" t="n"/>
      <c r="K8" s="11" t="n"/>
      <c r="L8" s="11" t="n">
        <v>17.44</v>
      </c>
      <c r="M8" s="11">
        <f>(L17-1)/L17</f>
        <v/>
      </c>
      <c r="N8" s="13" t="n">
        <v>0.003</v>
      </c>
      <c r="O8" s="13" t="n">
        <v>0.005</v>
      </c>
      <c r="Q8" s="12" t="n">
        <v>1</v>
      </c>
      <c r="R8" s="12" t="n">
        <v>0</v>
      </c>
      <c r="S8" t="n">
        <v>0</v>
      </c>
      <c r="U8" t="n">
        <v>0.00301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</row>
    <row r="9">
      <c r="A9" t="inlineStr">
        <is>
          <t>O</t>
        </is>
      </c>
      <c r="B9" t="n">
        <v>8</v>
      </c>
      <c r="C9" t="n">
        <v>15.999</v>
      </c>
      <c r="D9" t="n">
        <v>-0.0042</v>
      </c>
      <c r="E9" t="n">
        <v>-0.0021944</v>
      </c>
      <c r="F9" s="9" t="n">
        <v>0.532</v>
      </c>
      <c r="G9" s="11" t="n">
        <v>0.525</v>
      </c>
      <c r="I9" s="11" t="n"/>
      <c r="J9" s="11" t="n"/>
      <c r="K9" s="11" t="n"/>
      <c r="L9" s="11" t="n">
        <v>15.4</v>
      </c>
      <c r="M9" s="11">
        <f>(L16-1)/L16</f>
        <v/>
      </c>
      <c r="N9" s="13" t="n">
        <v>0.006</v>
      </c>
      <c r="O9" s="13" t="n">
        <v>0.008</v>
      </c>
      <c r="Q9" s="12" t="n">
        <v>1</v>
      </c>
      <c r="R9" s="12" t="n">
        <v>0</v>
      </c>
      <c r="S9" t="n">
        <v>0.432</v>
      </c>
      <c r="T9" t="n">
        <v>0.461</v>
      </c>
      <c r="U9" t="n">
        <v>0.459</v>
      </c>
      <c r="V9" t="n">
        <v>0.42563</v>
      </c>
      <c r="W9" t="n">
        <v>0.453224</v>
      </c>
      <c r="X9" t="n">
        <v>0.405479</v>
      </c>
      <c r="Y9" t="n">
        <v>0.440946</v>
      </c>
      <c r="Z9" t="n">
        <v>0.450951</v>
      </c>
      <c r="AA9" t="n">
        <v>0.465335</v>
      </c>
      <c r="AB9" t="n">
        <v>0.447028</v>
      </c>
      <c r="AC9" t="n">
        <v>0.445433</v>
      </c>
      <c r="AD9" t="n">
        <v>0.4368438853992971</v>
      </c>
    </row>
    <row r="10">
      <c r="A10" t="inlineStr">
        <is>
          <t>F</t>
        </is>
      </c>
      <c r="B10" t="n">
        <v>9</v>
      </c>
      <c r="C10" t="n">
        <v>18.998403163</v>
      </c>
      <c r="F10" s="10" t="n"/>
      <c r="G10" s="11" t="n"/>
      <c r="H10" s="6" t="n"/>
      <c r="I10" s="11" t="n"/>
      <c r="J10" s="11" t="n"/>
      <c r="K10" s="11" t="n"/>
      <c r="L10" s="11" t="n"/>
      <c r="M10" s="11" t="n"/>
      <c r="N10" s="12" t="n"/>
      <c r="O10" s="12" t="n"/>
      <c r="Q10" s="12" t="n"/>
      <c r="R10" s="12" t="n"/>
    </row>
    <row r="11">
      <c r="A11" t="inlineStr">
        <is>
          <t>Ne</t>
        </is>
      </c>
      <c r="B11" t="n">
        <v>10</v>
      </c>
      <c r="C11" t="n">
        <v>20.1797</v>
      </c>
      <c r="F11" s="10" t="n"/>
      <c r="G11" s="11" t="n"/>
      <c r="J11" s="11" t="n"/>
      <c r="K11" s="11" t="n"/>
      <c r="L11" s="11" t="n"/>
      <c r="M11" s="11" t="n"/>
      <c r="Q11" s="12" t="n"/>
      <c r="R11" s="12" t="n"/>
    </row>
    <row r="12">
      <c r="A12" t="inlineStr">
        <is>
          <t>Na</t>
        </is>
      </c>
      <c r="B12" t="n">
        <v>11</v>
      </c>
      <c r="C12" t="n">
        <v>22.98976928</v>
      </c>
      <c r="D12" t="n">
        <v>-0.008399999999999999</v>
      </c>
      <c r="E12" t="n">
        <v>-0.0028873</v>
      </c>
      <c r="F12" s="10" t="n">
        <v>1.0721</v>
      </c>
      <c r="G12" s="11" t="n">
        <v>1.041</v>
      </c>
      <c r="H12" t="n">
        <v>1.071</v>
      </c>
      <c r="I12" s="11" t="n"/>
      <c r="J12" s="11" t="n"/>
      <c r="K12" s="11" t="n"/>
      <c r="L12" s="11" t="n">
        <v>11.84</v>
      </c>
      <c r="M12" s="11">
        <f>(L15-1)/L15</f>
        <v/>
      </c>
      <c r="N12" t="n">
        <v>0.021</v>
      </c>
      <c r="O12" t="n">
        <v>0.023</v>
      </c>
      <c r="P12" t="n">
        <v>0.021</v>
      </c>
      <c r="Q12" s="12" t="n">
        <v>1</v>
      </c>
      <c r="R12" s="12" t="n">
        <v>0</v>
      </c>
      <c r="S12" t="n">
        <v>0.00438</v>
      </c>
      <c r="T12" t="n">
        <v>0.008</v>
      </c>
      <c r="U12" t="n">
        <v>0.00507</v>
      </c>
      <c r="V12" t="n">
        <v>0.004006</v>
      </c>
      <c r="W12" t="n">
        <v>0.003413</v>
      </c>
      <c r="X12" t="n">
        <v>0.002671</v>
      </c>
      <c r="Y12" t="n">
        <v>0</v>
      </c>
      <c r="Z12" t="n">
        <v>0.006454</v>
      </c>
      <c r="AA12" t="n">
        <v>0.002671</v>
      </c>
      <c r="AB12" t="n">
        <v>0.002967</v>
      </c>
      <c r="AC12" t="n">
        <v>0.001706</v>
      </c>
      <c r="AD12" t="n">
        <v>0.00489630358669872</v>
      </c>
    </row>
    <row r="13">
      <c r="A13" t="inlineStr">
        <is>
          <t>Mg</t>
        </is>
      </c>
      <c r="B13" t="n">
        <v>12</v>
      </c>
      <c r="C13" t="n">
        <v>24.305</v>
      </c>
      <c r="D13" t="n">
        <v>-0.0108</v>
      </c>
      <c r="E13" t="n">
        <v>-0.0032502</v>
      </c>
      <c r="F13" s="10" t="n">
        <v>1.305</v>
      </c>
      <c r="G13" s="11" t="n">
        <v>1.254</v>
      </c>
      <c r="H13" t="n">
        <v>1.302</v>
      </c>
      <c r="I13" s="11" t="n">
        <v>0.925</v>
      </c>
      <c r="J13" s="11" t="n">
        <v>13.088</v>
      </c>
      <c r="K13" s="11">
        <f>(J14-1)/J14</f>
        <v/>
      </c>
      <c r="L13" s="11" t="n">
        <v>12.02</v>
      </c>
      <c r="M13" s="11">
        <f>(L14-1)/L14</f>
        <v/>
      </c>
      <c r="N13" t="n">
        <v>0.027</v>
      </c>
      <c r="O13" t="n">
        <v>0.03</v>
      </c>
      <c r="P13" t="n">
        <v>0.026</v>
      </c>
      <c r="Q13" s="12" t="n">
        <v>1</v>
      </c>
      <c r="R13" s="12" t="n">
        <v>0</v>
      </c>
      <c r="S13" t="n">
        <v>0.187</v>
      </c>
      <c r="T13" t="n">
        <v>0.158</v>
      </c>
      <c r="U13" t="n">
        <v>0.0954</v>
      </c>
      <c r="V13" t="n">
        <v>0.056083</v>
      </c>
      <c r="W13" t="n">
        <v>0.034373</v>
      </c>
      <c r="X13" t="n">
        <v>0.050656</v>
      </c>
      <c r="Y13" t="n">
        <v>0.051259</v>
      </c>
      <c r="Z13" t="n">
        <v>0.047218</v>
      </c>
      <c r="AA13" t="n">
        <v>0.001568</v>
      </c>
      <c r="AB13" t="n">
        <v>0.07538</v>
      </c>
      <c r="AC13" t="n">
        <v>0.120608</v>
      </c>
      <c r="AD13" t="n">
        <v>0.05650502431520444</v>
      </c>
    </row>
    <row r="14">
      <c r="A14" t="inlineStr">
        <is>
          <t>Al</t>
        </is>
      </c>
      <c r="B14" t="n">
        <v>13</v>
      </c>
      <c r="C14" t="n">
        <v>26.9815384</v>
      </c>
      <c r="D14" t="n">
        <v>-0.0126</v>
      </c>
      <c r="E14" t="n">
        <v>-0.0034361</v>
      </c>
      <c r="F14" s="10" t="n">
        <v>1.5596</v>
      </c>
      <c r="G14" s="11" t="n">
        <v>1.487</v>
      </c>
      <c r="H14" t="n">
        <v>1.558</v>
      </c>
      <c r="I14" s="11" t="n">
        <v>0.92</v>
      </c>
      <c r="J14" s="11" t="n">
        <v>12.346</v>
      </c>
      <c r="K14" s="11">
        <f>(J13-1)/J13</f>
        <v/>
      </c>
      <c r="L14" s="4" t="n">
        <v>10.95</v>
      </c>
      <c r="M14" s="11">
        <f>(L13-1)/L13</f>
        <v/>
      </c>
      <c r="N14" s="14" t="n">
        <v>0.033</v>
      </c>
      <c r="O14" s="14" t="n">
        <v>0.039</v>
      </c>
      <c r="P14" t="n">
        <v>0.0387</v>
      </c>
      <c r="Q14" s="12" t="n">
        <v>0.986</v>
      </c>
      <c r="R14" s="12" t="n">
        <v>0.013</v>
      </c>
      <c r="S14" t="n">
        <v>0.019</v>
      </c>
      <c r="T14" t="n">
        <v>0.026</v>
      </c>
      <c r="U14" t="n">
        <v>0.00859</v>
      </c>
      <c r="V14" t="n">
        <v>0.068274</v>
      </c>
      <c r="W14" t="n">
        <v>0.144487</v>
      </c>
      <c r="X14" t="n">
        <v>0.046575</v>
      </c>
      <c r="Y14" t="n">
        <v>0.07199999999999999</v>
      </c>
      <c r="Z14" t="n">
        <v>0.089444</v>
      </c>
      <c r="AA14" t="n">
        <v>0.188415</v>
      </c>
      <c r="AB14" t="n">
        <v>0.079389</v>
      </c>
      <c r="AC14" t="n">
        <v>0.105322</v>
      </c>
      <c r="AD14" t="n">
        <v>0.09103292435342925</v>
      </c>
    </row>
    <row r="15">
      <c r="A15" t="inlineStr">
        <is>
          <t>Si</t>
        </is>
      </c>
      <c r="B15" t="n">
        <v>14</v>
      </c>
      <c r="C15" t="n">
        <v>28.085</v>
      </c>
      <c r="D15" t="n">
        <v>-0.0156</v>
      </c>
      <c r="E15" t="n">
        <v>-0.0038284</v>
      </c>
      <c r="F15" s="10" t="n">
        <v>1.8389</v>
      </c>
      <c r="G15" t="n">
        <v>1.74</v>
      </c>
      <c r="H15" t="n">
        <v>1.836</v>
      </c>
      <c r="I15" t="n">
        <v>0.917</v>
      </c>
      <c r="J15" t="n">
        <v>11.858</v>
      </c>
      <c r="K15">
        <f>(J12-1)/J12</f>
        <v/>
      </c>
      <c r="L15" s="11" t="n">
        <v>10.37</v>
      </c>
      <c r="M15" s="11">
        <f>(L12-1)/L12</f>
        <v/>
      </c>
      <c r="N15" t="n">
        <v>0.048</v>
      </c>
      <c r="O15" t="n">
        <v>0.05</v>
      </c>
      <c r="P15" t="n">
        <v>0.043</v>
      </c>
      <c r="Q15" s="12" t="n">
        <v>0.971</v>
      </c>
      <c r="R15" s="12" t="n">
        <v>0.029</v>
      </c>
      <c r="S15" t="n">
        <v>0.213</v>
      </c>
      <c r="T15" t="n">
        <v>0.214</v>
      </c>
      <c r="U15" t="n">
        <v>0.107</v>
      </c>
      <c r="V15" t="n">
        <v>0.216423</v>
      </c>
      <c r="W15" t="n">
        <v>0.210347</v>
      </c>
      <c r="X15" t="n">
        <v>0.176691</v>
      </c>
      <c r="Y15" t="n">
        <v>0.216891</v>
      </c>
      <c r="Z15" t="n">
        <v>0.245404</v>
      </c>
      <c r="AA15" t="n">
        <v>0.208009</v>
      </c>
      <c r="AB15" t="n">
        <v>0.24073</v>
      </c>
      <c r="AC15" t="n">
        <v>0.200998</v>
      </c>
      <c r="AD15" t="n">
        <v>0.2206301283224873</v>
      </c>
    </row>
    <row r="16">
      <c r="A16" t="inlineStr">
        <is>
          <t>P</t>
        </is>
      </c>
      <c r="B16" t="n">
        <v>15</v>
      </c>
      <c r="C16" t="n">
        <v>30.973761998</v>
      </c>
      <c r="D16" t="n">
        <v>-0.018</v>
      </c>
      <c r="E16" t="n">
        <v>-0.003985</v>
      </c>
      <c r="F16" s="10" t="n">
        <v>2.1455</v>
      </c>
      <c r="G16" t="n">
        <v>2.014</v>
      </c>
      <c r="H16" t="n">
        <v>2.139</v>
      </c>
      <c r="J16" t="n">
        <v>11.42</v>
      </c>
      <c r="K16">
        <f>(J11-1)/J11</f>
        <v/>
      </c>
      <c r="L16" s="11" t="n">
        <v>9.968999999999999</v>
      </c>
      <c r="M16" s="11">
        <f>(L11-1)/L11</f>
        <v/>
      </c>
      <c r="N16" t="n">
        <v>0.061</v>
      </c>
      <c r="O16" t="n">
        <v>0.063</v>
      </c>
      <c r="P16" t="n">
        <v>0.061</v>
      </c>
      <c r="Q16" s="12" t="n">
        <v>0.955</v>
      </c>
      <c r="R16" s="12" t="n">
        <v>0.045</v>
      </c>
      <c r="S16" t="n">
        <v>0.00074</v>
      </c>
      <c r="T16" t="n">
        <v>0.0014</v>
      </c>
      <c r="U16" t="n">
        <v>0.00101</v>
      </c>
      <c r="V16" t="n">
        <v>0.002254</v>
      </c>
      <c r="W16" t="n">
        <v>0.00062</v>
      </c>
      <c r="X16" t="n">
        <v>0</v>
      </c>
      <c r="Y16" t="n">
        <v>0</v>
      </c>
      <c r="Z16" t="n">
        <v>0.002423</v>
      </c>
      <c r="AA16" t="n">
        <v>0</v>
      </c>
      <c r="AB16" t="n">
        <v>0.000479</v>
      </c>
      <c r="AC16" t="n">
        <v>0.000101</v>
      </c>
      <c r="AD16" t="n">
        <v>0.002007572053570799</v>
      </c>
    </row>
    <row r="17">
      <c r="A17" t="inlineStr">
        <is>
          <t>S</t>
        </is>
      </c>
      <c r="B17" t="n">
        <v>16</v>
      </c>
      <c r="C17" t="n">
        <v>32.06</v>
      </c>
      <c r="D17" t="n">
        <v>-0.021</v>
      </c>
      <c r="E17" t="n">
        <v>-0.0043804</v>
      </c>
      <c r="F17" s="10" t="n">
        <v>2.472</v>
      </c>
      <c r="G17" t="n">
        <v>2.308</v>
      </c>
      <c r="H17" t="n">
        <v>2.464</v>
      </c>
      <c r="J17" t="n">
        <v>10.907</v>
      </c>
      <c r="K17">
        <f>(J10-1)/J10</f>
        <v/>
      </c>
      <c r="L17" s="11" t="n">
        <v>9.613</v>
      </c>
      <c r="M17" s="11">
        <f>(L10-1)/L10</f>
        <v/>
      </c>
      <c r="N17" t="n">
        <v>0.07000000000000001</v>
      </c>
      <c r="O17" t="n">
        <v>0.078</v>
      </c>
      <c r="P17" t="n">
        <v>0.07099999999999999</v>
      </c>
      <c r="Q17" s="12" t="n">
        <v>0.9379999999999999</v>
      </c>
      <c r="R17" s="12" t="n">
        <v>0.062</v>
      </c>
      <c r="S17" t="n">
        <v>0.00036</v>
      </c>
      <c r="T17" t="n">
        <v>0.006</v>
      </c>
      <c r="U17" t="n">
        <v>0.0535</v>
      </c>
      <c r="V17" t="n">
        <v>0</v>
      </c>
      <c r="W17" t="n">
        <v>0.0007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0.0008</v>
      </c>
    </row>
    <row r="18">
      <c r="A18" t="inlineStr">
        <is>
          <t>Cl</t>
        </is>
      </c>
      <c r="B18" t="n">
        <v>17</v>
      </c>
      <c r="C18" t="n">
        <v>35.45</v>
      </c>
      <c r="D18" t="n">
        <v>-0.0246</v>
      </c>
      <c r="E18" t="n">
        <v>-0.0044718</v>
      </c>
      <c r="F18" s="10" t="n">
        <v>2.8224</v>
      </c>
      <c r="G18" t="n">
        <v>2.622</v>
      </c>
      <c r="H18" t="n">
        <v>2.816</v>
      </c>
      <c r="L18" t="n">
        <v>9.308999999999999</v>
      </c>
      <c r="M18" s="11">
        <f>(L9-1)/L9</f>
        <v/>
      </c>
      <c r="N18" t="n">
        <v>0.089</v>
      </c>
      <c r="O18" t="n">
        <v>0.097</v>
      </c>
      <c r="P18" t="n">
        <v>0.089</v>
      </c>
      <c r="Q18" s="12" t="n">
        <v>0.92</v>
      </c>
      <c r="R18" s="12" t="n">
        <v>0.08</v>
      </c>
      <c r="S18" t="n">
        <v>0</v>
      </c>
      <c r="U18" t="n">
        <v>0.000115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</row>
    <row r="19">
      <c r="A19" t="inlineStr">
        <is>
          <t>Ar</t>
        </is>
      </c>
      <c r="B19" t="n">
        <v>18</v>
      </c>
      <c r="C19" t="n">
        <v>39.948</v>
      </c>
      <c r="M19" s="11" t="n"/>
    </row>
    <row r="20">
      <c r="A20" t="inlineStr">
        <is>
          <t>K</t>
        </is>
      </c>
      <c r="B20" t="n">
        <v>19</v>
      </c>
      <c r="C20" t="n">
        <v>39.0983</v>
      </c>
      <c r="D20" t="n">
        <v>-0.0318</v>
      </c>
      <c r="E20" t="n">
        <v>-0.0050651</v>
      </c>
      <c r="F20" t="n">
        <v>3.6074</v>
      </c>
      <c r="G20" t="n">
        <v>3.314</v>
      </c>
      <c r="H20" t="n">
        <v>3.59</v>
      </c>
      <c r="I20" t="n">
        <v>0.899</v>
      </c>
      <c r="J20" t="n">
        <v>9.717000000000001</v>
      </c>
      <c r="K20">
        <f>(J8-1)/J8</f>
        <v/>
      </c>
      <c r="L20" t="n">
        <v>9.163</v>
      </c>
      <c r="M20">
        <f>(L8-1)/L8</f>
        <v/>
      </c>
      <c r="N20" t="n">
        <v>0.132</v>
      </c>
      <c r="O20" t="n">
        <v>0.14</v>
      </c>
      <c r="P20" t="n">
        <v>0.132</v>
      </c>
      <c r="Q20" t="n">
        <v>0.891</v>
      </c>
      <c r="R20" t="n">
        <v>0.108</v>
      </c>
      <c r="S20" t="n">
        <v>0.00036</v>
      </c>
      <c r="T20" t="n">
        <v>0.001</v>
      </c>
      <c r="U20" t="n">
        <v>0.000546</v>
      </c>
      <c r="V20" t="n">
        <v>0.002573</v>
      </c>
      <c r="W20" t="n">
        <v>0.001411</v>
      </c>
      <c r="X20" t="n">
        <v>0.000415</v>
      </c>
      <c r="Y20" t="n">
        <v>0.00083</v>
      </c>
      <c r="Z20" t="n">
        <v>0.0044</v>
      </c>
      <c r="AA20" t="n">
        <v>0.000125</v>
      </c>
      <c r="AB20" t="n">
        <v>0.001436</v>
      </c>
      <c r="AC20" t="n">
        <v>0.000232</v>
      </c>
      <c r="AD20" t="n">
        <v>0.004814871277668666</v>
      </c>
    </row>
    <row r="21">
      <c r="A21" t="inlineStr">
        <is>
          <t>Ca</t>
        </is>
      </c>
      <c r="B21" t="n">
        <v>20</v>
      </c>
      <c r="C21" t="n">
        <v>40.078</v>
      </c>
      <c r="D21" t="n">
        <v>-0.036</v>
      </c>
      <c r="E21" t="n">
        <v>-0.0054748</v>
      </c>
      <c r="F21" t="n">
        <v>4.0381</v>
      </c>
      <c r="G21" t="n">
        <v>3.692</v>
      </c>
      <c r="H21" t="n">
        <v>4.013</v>
      </c>
      <c r="I21" t="n">
        <v>0.897</v>
      </c>
      <c r="J21" t="n">
        <v>9.613</v>
      </c>
      <c r="K21">
        <f>(J7-1)/J7</f>
        <v/>
      </c>
      <c r="L21" t="n">
        <v>8.744</v>
      </c>
      <c r="M21">
        <f>(L7-1)/L7</f>
        <v/>
      </c>
      <c r="N21" t="n">
        <v>0.151</v>
      </c>
      <c r="O21" t="n">
        <v>0.163</v>
      </c>
      <c r="P21" t="n">
        <v>0.147</v>
      </c>
      <c r="Q21" t="n">
        <v>0.884</v>
      </c>
      <c r="R21" t="n">
        <v>0.116</v>
      </c>
      <c r="S21" t="n">
        <v>0.0206</v>
      </c>
      <c r="T21" t="n">
        <v>0.026</v>
      </c>
      <c r="U21" t="n">
        <v>0.009310000000000001</v>
      </c>
      <c r="V21" t="n">
        <v>0.076472</v>
      </c>
      <c r="W21" t="n">
        <v>0.112207</v>
      </c>
      <c r="X21" t="n">
        <v>0.076472</v>
      </c>
      <c r="Y21" t="n">
        <v>0.08004600000000001</v>
      </c>
      <c r="Z21" t="n">
        <v>0.067396</v>
      </c>
      <c r="AA21" t="n">
        <v>0.145798</v>
      </c>
      <c r="AB21" t="n">
        <v>0.065037</v>
      </c>
      <c r="AC21" t="n">
        <v>0.07718700000000001</v>
      </c>
      <c r="AD21" t="n">
        <v>0.07861654510761987</v>
      </c>
    </row>
    <row r="22">
      <c r="A22" t="inlineStr">
        <is>
          <t>Sc</t>
        </is>
      </c>
      <c r="B22" t="n">
        <v>21</v>
      </c>
      <c r="C22" t="n">
        <v>44.955908</v>
      </c>
    </row>
    <row r="23">
      <c r="A23" t="inlineStr">
        <is>
          <t>Ti</t>
        </is>
      </c>
      <c r="B23" t="n">
        <v>22</v>
      </c>
      <c r="C23" t="n">
        <v>47.867</v>
      </c>
      <c r="D23" t="n">
        <v>-0.045</v>
      </c>
      <c r="E23" t="n">
        <v>-0.0055454</v>
      </c>
      <c r="F23" t="n">
        <v>4.9664</v>
      </c>
      <c r="G23" t="n">
        <v>4.511</v>
      </c>
      <c r="H23" t="n">
        <v>4.932</v>
      </c>
      <c r="I23" t="n">
        <v>0.894</v>
      </c>
      <c r="J23" t="n">
        <v>9.276999999999999</v>
      </c>
      <c r="K23">
        <f>(J6-1)/J6</f>
        <v/>
      </c>
      <c r="L23" t="n">
        <v>8.366</v>
      </c>
      <c r="M23">
        <f>(L6-1)/L6</f>
        <v/>
      </c>
      <c r="N23" t="n">
        <v>0.208</v>
      </c>
      <c r="O23" t="n">
        <v>0.214</v>
      </c>
      <c r="P23" t="n">
        <v>0.218</v>
      </c>
      <c r="Q23" t="n">
        <v>0.88</v>
      </c>
      <c r="R23" t="n">
        <v>0.119</v>
      </c>
      <c r="S23" t="n">
        <v>0.00101</v>
      </c>
      <c r="T23" t="n">
        <v>0.002</v>
      </c>
      <c r="U23" t="n">
        <v>0.000447</v>
      </c>
      <c r="V23" t="n">
        <v>0.01798</v>
      </c>
      <c r="W23" t="n">
        <v>0.003236</v>
      </c>
      <c r="X23" t="n">
        <v>0.077915</v>
      </c>
      <c r="Y23" t="n">
        <v>0.015583</v>
      </c>
      <c r="Z23" t="n">
        <v>0.011388</v>
      </c>
      <c r="AA23" t="n">
        <v>0.00012</v>
      </c>
      <c r="AB23" t="n">
        <v>0.001978</v>
      </c>
      <c r="AC23" t="n">
        <v>0.0003</v>
      </c>
      <c r="AD23" t="n">
        <v>0.01072834533274901</v>
      </c>
    </row>
    <row r="24">
      <c r="A24" t="inlineStr">
        <is>
          <t>V</t>
        </is>
      </c>
      <c r="B24" t="n">
        <v>23</v>
      </c>
      <c r="C24" t="n">
        <v>50.9415</v>
      </c>
    </row>
    <row r="25">
      <c r="A25" t="inlineStr">
        <is>
          <t>Cr</t>
        </is>
      </c>
      <c r="B25" t="n">
        <v>24</v>
      </c>
      <c r="C25" t="n">
        <v>51.9961</v>
      </c>
      <c r="D25" t="n">
        <v>-0.0558</v>
      </c>
      <c r="E25" t="n">
        <v>-0.006077</v>
      </c>
      <c r="F25" t="n">
        <v>5.9892</v>
      </c>
      <c r="G25" t="n">
        <v>5.415</v>
      </c>
      <c r="H25" t="n">
        <v>5.947</v>
      </c>
      <c r="J25" t="n">
        <v>8.912000000000001</v>
      </c>
      <c r="K25">
        <f>(J5-1)/J5</f>
        <v/>
      </c>
      <c r="L25" t="n">
        <v>8.045</v>
      </c>
      <c r="M25">
        <f>(L5-1)/L5</f>
        <v/>
      </c>
      <c r="N25" t="n">
        <v>0.281</v>
      </c>
      <c r="O25" t="n">
        <v>0.275</v>
      </c>
      <c r="P25" t="n">
        <v>0.286</v>
      </c>
      <c r="Q25" t="n">
        <v>0.883</v>
      </c>
      <c r="R25" t="n">
        <v>0.117</v>
      </c>
      <c r="S25" t="n">
        <v>0.006</v>
      </c>
      <c r="T25" t="n">
        <v>0.005</v>
      </c>
      <c r="U25" t="n">
        <v>0.00268</v>
      </c>
      <c r="V25" t="n">
        <v>0.002326</v>
      </c>
      <c r="W25" t="n">
        <v>0.002258</v>
      </c>
      <c r="X25" t="n">
        <v>0.002805</v>
      </c>
      <c r="Y25" t="n">
        <v>0</v>
      </c>
      <c r="Z25" t="n">
        <v>0.001779</v>
      </c>
      <c r="AA25" t="n">
        <v>2.1e-05</v>
      </c>
      <c r="AB25" t="n">
        <v>0.002463</v>
      </c>
      <c r="AC25" t="n">
        <v>0.000753</v>
      </c>
      <c r="AD25" t="n">
        <v>0.001505</v>
      </c>
    </row>
    <row r="26">
      <c r="A26" t="inlineStr">
        <is>
          <t>Mn</t>
        </is>
      </c>
      <c r="B26" t="n">
        <v>25</v>
      </c>
      <c r="C26" t="n">
        <v>54.938043</v>
      </c>
      <c r="D26" t="n">
        <v>-0.0612</v>
      </c>
      <c r="E26" t="n">
        <v>-0.0062409</v>
      </c>
      <c r="F26" t="n">
        <v>6.539</v>
      </c>
      <c r="G26" t="n">
        <v>5.899</v>
      </c>
      <c r="H26" t="n">
        <v>6.491</v>
      </c>
      <c r="I26" t="n">
        <v>0.887</v>
      </c>
      <c r="J26" t="n">
        <v>8.726000000000001</v>
      </c>
      <c r="K26">
        <f>(J4-1)/J4</f>
        <v/>
      </c>
      <c r="L26" t="n">
        <v>7.999</v>
      </c>
      <c r="M26">
        <f>(L4-1)/L4</f>
        <v/>
      </c>
      <c r="N26" t="n">
        <v>0.32</v>
      </c>
      <c r="O26" t="n">
        <v>0.308</v>
      </c>
      <c r="P26" t="n">
        <v>0.319</v>
      </c>
      <c r="Q26" t="n">
        <v>0.879</v>
      </c>
      <c r="R26" t="n">
        <v>0.121</v>
      </c>
      <c r="S26" t="n">
        <v>0.00288</v>
      </c>
      <c r="T26" t="n">
        <v>0.0029</v>
      </c>
      <c r="U26" t="n">
        <v>0.00196</v>
      </c>
      <c r="V26" t="n">
        <v>0.001704</v>
      </c>
      <c r="W26" t="n">
        <v>0.001549</v>
      </c>
      <c r="X26" t="n">
        <v>0.002091</v>
      </c>
      <c r="Y26" t="n">
        <v>0.002014</v>
      </c>
      <c r="Z26" t="n">
        <v>0.000929</v>
      </c>
      <c r="AA26" t="n">
        <v>4.6e-05</v>
      </c>
      <c r="AB26" t="n">
        <v>0.001239</v>
      </c>
      <c r="AC26" t="n">
        <v>0.000503</v>
      </c>
      <c r="AD26" t="n">
        <v>0.001084246584997956</v>
      </c>
    </row>
    <row r="27">
      <c r="A27" t="inlineStr">
        <is>
          <t>Fe</t>
        </is>
      </c>
      <c r="B27" t="n">
        <v>26</v>
      </c>
      <c r="C27" t="n">
        <v>55.845</v>
      </c>
      <c r="D27" t="n">
        <v>-0.0678</v>
      </c>
      <c r="E27" t="n">
        <v>-0.0066403</v>
      </c>
      <c r="F27" t="n">
        <v>7.112</v>
      </c>
      <c r="G27" t="n">
        <v>6.404</v>
      </c>
      <c r="H27" t="n">
        <v>7.058</v>
      </c>
      <c r="I27" t="n">
        <v>0.884</v>
      </c>
      <c r="J27" t="n">
        <v>8.523</v>
      </c>
      <c r="K27">
        <f>(J3-1)/J3</f>
        <v/>
      </c>
      <c r="L27" t="n">
        <v>7.893</v>
      </c>
      <c r="M27">
        <f>(L3-1)/L3</f>
        <v/>
      </c>
      <c r="N27" t="n">
        <v>0.336</v>
      </c>
      <c r="O27" t="n">
        <v>0.34</v>
      </c>
      <c r="P27" t="n">
        <v>0.351</v>
      </c>
      <c r="Q27" t="n">
        <v>0.877</v>
      </c>
      <c r="R27" t="n">
        <v>0.122</v>
      </c>
      <c r="S27" t="n">
        <v>0.114</v>
      </c>
      <c r="T27" t="n">
        <v>0.118</v>
      </c>
      <c r="U27" t="n">
        <v>0.1866</v>
      </c>
      <c r="V27" t="n">
        <v>0.117374</v>
      </c>
      <c r="W27" t="n">
        <v>0.041975</v>
      </c>
      <c r="X27" t="n">
        <v>0.15313</v>
      </c>
      <c r="Y27" t="n">
        <v>0.130588</v>
      </c>
      <c r="Z27" t="n">
        <v>0.07011299999999999</v>
      </c>
      <c r="AA27" t="n">
        <v>0.001632</v>
      </c>
      <c r="AB27" t="n">
        <v>0.07695399999999999</v>
      </c>
      <c r="AC27" t="n">
        <v>0.038865</v>
      </c>
      <c r="AD27" t="n">
        <v>0.08084015366627693</v>
      </c>
    </row>
    <row r="28">
      <c r="A28" t="inlineStr">
        <is>
          <t>Co</t>
        </is>
      </c>
      <c r="B28" t="n">
        <v>27</v>
      </c>
      <c r="C28" t="n">
        <v>58.933194</v>
      </c>
    </row>
    <row r="29">
      <c r="A29" t="inlineStr">
        <is>
          <t>Ni</t>
        </is>
      </c>
      <c r="B29" t="n">
        <v>28</v>
      </c>
      <c r="C29" t="n">
        <v>58.6934</v>
      </c>
      <c r="D29" t="n">
        <v>-0.081</v>
      </c>
      <c r="E29" t="n">
        <v>-0.0073281</v>
      </c>
      <c r="F29" t="n">
        <v>8.332800000000001</v>
      </c>
      <c r="G29" t="n">
        <v>7.478</v>
      </c>
      <c r="H29" t="n">
        <v>8.265000000000001</v>
      </c>
      <c r="I29" t="n">
        <v>0.879</v>
      </c>
      <c r="J29" t="n">
        <v>8.119</v>
      </c>
      <c r="K29">
        <f>(J2-1)/J2</f>
        <v/>
      </c>
      <c r="L29" t="n">
        <v>7.707</v>
      </c>
      <c r="M29">
        <f>(L2-1)/L2</f>
        <v/>
      </c>
      <c r="N29" t="n">
        <v>0.41</v>
      </c>
      <c r="O29" t="n">
        <v>0.406</v>
      </c>
      <c r="P29" t="n">
        <v>0.412</v>
      </c>
      <c r="Q29" t="n">
        <v>0.877</v>
      </c>
      <c r="R29" t="n">
        <v>0.122</v>
      </c>
      <c r="S29" t="n">
        <v>0.00036</v>
      </c>
      <c r="T29" t="n">
        <v>0.0003</v>
      </c>
      <c r="U29" t="n">
        <v>0.01116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0.000322</v>
      </c>
    </row>
    <row r="30">
      <c r="A30" t="inlineStr">
        <is>
          <t>Cu</t>
        </is>
      </c>
      <c r="B30" t="n">
        <v>29</v>
      </c>
      <c r="C30" t="n">
        <v>63.546</v>
      </c>
    </row>
    <row r="31">
      <c r="A31" t="inlineStr">
        <is>
          <t>Zn</t>
        </is>
      </c>
      <c r="B31" t="n">
        <v>30</v>
      </c>
      <c r="C31" t="n">
        <v>65.38</v>
      </c>
    </row>
    <row r="32">
      <c r="A32" t="inlineStr">
        <is>
          <t>Ga</t>
        </is>
      </c>
      <c r="B32" t="n">
        <v>31</v>
      </c>
      <c r="C32" t="n">
        <v>69.723</v>
      </c>
    </row>
    <row r="33">
      <c r="A33" t="inlineStr">
        <is>
          <t>Ge</t>
        </is>
      </c>
      <c r="B33" t="n">
        <v>32</v>
      </c>
      <c r="C33" t="n">
        <v>72.63</v>
      </c>
    </row>
    <row r="34">
      <c r="A34" t="inlineStr">
        <is>
          <t>As</t>
        </is>
      </c>
      <c r="B34" t="n">
        <v>33</v>
      </c>
      <c r="C34" t="n">
        <v>74.921595</v>
      </c>
    </row>
    <row r="35">
      <c r="A35" t="inlineStr">
        <is>
          <t>Se</t>
        </is>
      </c>
      <c r="B35" t="n">
        <v>34</v>
      </c>
      <c r="C35" t="n">
        <v>78.971</v>
      </c>
    </row>
    <row r="36">
      <c r="A36" t="inlineStr">
        <is>
          <t>Br</t>
        </is>
      </c>
      <c r="B36" t="n">
        <v>35</v>
      </c>
      <c r="C36" t="n">
        <v>79.904</v>
      </c>
    </row>
    <row r="37">
      <c r="A37" t="inlineStr">
        <is>
          <t>Kr</t>
        </is>
      </c>
      <c r="B37" t="n">
        <v>36</v>
      </c>
      <c r="C37" t="n">
        <v>83.798</v>
      </c>
    </row>
    <row r="38">
      <c r="A38" t="inlineStr">
        <is>
          <t>Rb</t>
        </is>
      </c>
      <c r="B38" t="n">
        <v>37</v>
      </c>
      <c r="C38" t="n">
        <v>85.4678</v>
      </c>
      <c r="AD38" t="n">
        <v>1.5e-05</v>
      </c>
    </row>
    <row r="39">
      <c r="A39" t="inlineStr">
        <is>
          <t>Sr</t>
        </is>
      </c>
      <c r="B39" t="n">
        <v>38</v>
      </c>
      <c r="C39" t="n">
        <v>87.62</v>
      </c>
      <c r="AD39" t="n">
        <v>0.000186</v>
      </c>
    </row>
    <row r="40">
      <c r="A40" t="inlineStr">
        <is>
          <t>Y</t>
        </is>
      </c>
      <c r="B40" t="n">
        <v>39</v>
      </c>
      <c r="C40" t="n">
        <v>88.90584</v>
      </c>
      <c r="AD40" t="n">
        <v>0.000213</v>
      </c>
    </row>
    <row r="41">
      <c r="A41" t="inlineStr">
        <is>
          <t>Zr</t>
        </is>
      </c>
      <c r="B41" t="n">
        <v>40</v>
      </c>
      <c r="C41" t="n">
        <v>91.224</v>
      </c>
      <c r="AD41" t="n">
        <v>0.0009779999999999999</v>
      </c>
    </row>
    <row r="42">
      <c r="A42" t="inlineStr">
        <is>
          <t>Nb</t>
        </is>
      </c>
      <c r="B42" t="n">
        <v>41</v>
      </c>
      <c r="C42" t="n">
        <v>92.90637</v>
      </c>
      <c r="AD42" t="n">
        <v>6.499999999999999e-05</v>
      </c>
    </row>
    <row r="43">
      <c r="A43" t="inlineStr">
        <is>
          <t>Mo</t>
        </is>
      </c>
      <c r="B43" t="n">
        <v>42</v>
      </c>
      <c r="C43" t="n">
        <v>95.95</v>
      </c>
    </row>
    <row r="44">
      <c r="A44" t="inlineStr">
        <is>
          <t>Tc</t>
        </is>
      </c>
      <c r="B44" t="n">
        <v>43</v>
      </c>
      <c r="C44" t="n">
        <v>97</v>
      </c>
    </row>
    <row r="45">
      <c r="A45" t="inlineStr">
        <is>
          <t>Ru</t>
        </is>
      </c>
      <c r="B45" t="n">
        <v>44</v>
      </c>
      <c r="C45" t="n">
        <v>101.07</v>
      </c>
    </row>
    <row r="46">
      <c r="A46" t="inlineStr">
        <is>
          <t>Rh</t>
        </is>
      </c>
      <c r="B46" t="n">
        <v>45</v>
      </c>
      <c r="C46" t="n">
        <v>102.90549</v>
      </c>
    </row>
    <row r="47">
      <c r="A47" t="inlineStr">
        <is>
          <t>Pd</t>
        </is>
      </c>
      <c r="B47" t="n">
        <v>46</v>
      </c>
      <c r="C47" t="n">
        <v>106.42</v>
      </c>
    </row>
    <row r="48">
      <c r="A48" t="inlineStr">
        <is>
          <t>Ag</t>
        </is>
      </c>
      <c r="B48" t="n">
        <v>47</v>
      </c>
      <c r="C48" t="n">
        <v>107.8682</v>
      </c>
    </row>
    <row r="49">
      <c r="A49" t="inlineStr">
        <is>
          <t>Cd</t>
        </is>
      </c>
      <c r="B49" t="n">
        <v>48</v>
      </c>
      <c r="C49" t="n">
        <v>112.414</v>
      </c>
    </row>
    <row r="50">
      <c r="A50" t="inlineStr">
        <is>
          <t>In</t>
        </is>
      </c>
      <c r="B50" t="n">
        <v>49</v>
      </c>
      <c r="C50" t="n">
        <v>114.818</v>
      </c>
    </row>
    <row r="51">
      <c r="A51" t="inlineStr">
        <is>
          <t>Sn</t>
        </is>
      </c>
      <c r="B51" t="n">
        <v>50</v>
      </c>
      <c r="C51" t="n">
        <v>118.71</v>
      </c>
    </row>
    <row r="52">
      <c r="A52" t="inlineStr">
        <is>
          <t>Sb</t>
        </is>
      </c>
      <c r="B52" t="n">
        <v>51</v>
      </c>
      <c r="C52" t="n">
        <v>121.76</v>
      </c>
    </row>
    <row r="53">
      <c r="A53" t="inlineStr">
        <is>
          <t>Te</t>
        </is>
      </c>
      <c r="B53" t="n">
        <v>52</v>
      </c>
      <c r="C53" t="n">
        <v>127.6</v>
      </c>
    </row>
    <row r="54">
      <c r="A54" t="inlineStr">
        <is>
          <t>I</t>
        </is>
      </c>
      <c r="B54" t="n">
        <v>53</v>
      </c>
      <c r="C54" t="n">
        <v>126.90447</v>
      </c>
    </row>
    <row r="55">
      <c r="A55" t="inlineStr">
        <is>
          <t>Xe</t>
        </is>
      </c>
      <c r="B55" t="n">
        <v>54</v>
      </c>
      <c r="C55" t="n">
        <v>131.293</v>
      </c>
    </row>
    <row r="56">
      <c r="A56" t="inlineStr">
        <is>
          <t>Cs</t>
        </is>
      </c>
      <c r="B56" t="n">
        <v>55</v>
      </c>
      <c r="C56" t="n">
        <v>132.90545196</v>
      </c>
    </row>
    <row r="57">
      <c r="A57" t="inlineStr">
        <is>
          <t>Ba</t>
        </is>
      </c>
      <c r="B57" t="n">
        <v>56</v>
      </c>
      <c r="C57" t="n">
        <v>137.327</v>
      </c>
      <c r="AD57" t="n">
        <v>0.000855</v>
      </c>
    </row>
    <row r="58">
      <c r="A58" t="inlineStr">
        <is>
          <t>La</t>
        </is>
      </c>
      <c r="B58" t="n">
        <v>57</v>
      </c>
      <c r="C58" t="n">
        <v>138.90547</v>
      </c>
    </row>
    <row r="59">
      <c r="A59" t="inlineStr">
        <is>
          <t>Ce</t>
        </is>
      </c>
      <c r="B59" t="n">
        <v>58</v>
      </c>
      <c r="C59" t="n">
        <v>140.116</v>
      </c>
    </row>
    <row r="60">
      <c r="A60" t="inlineStr">
        <is>
          <t>Pr</t>
        </is>
      </c>
      <c r="B60" t="n">
        <v>59</v>
      </c>
      <c r="C60" t="n">
        <v>140.90766</v>
      </c>
    </row>
    <row r="61">
      <c r="A61" t="inlineStr">
        <is>
          <t>Nd</t>
        </is>
      </c>
      <c r="B61" t="n">
        <v>60</v>
      </c>
      <c r="C61" t="n">
        <v>144.242</v>
      </c>
    </row>
    <row r="62">
      <c r="A62" t="inlineStr">
        <is>
          <t>Pm</t>
        </is>
      </c>
      <c r="B62" t="n">
        <v>61</v>
      </c>
      <c r="C62" t="n">
        <v>145</v>
      </c>
    </row>
    <row r="63">
      <c r="A63" t="inlineStr">
        <is>
          <t>Sm</t>
        </is>
      </c>
      <c r="B63" t="n">
        <v>62</v>
      </c>
      <c r="C63" t="n">
        <v>150.36</v>
      </c>
    </row>
    <row r="64">
      <c r="A64" t="inlineStr">
        <is>
          <t>Eu</t>
        </is>
      </c>
      <c r="B64" t="n">
        <v>63</v>
      </c>
      <c r="C64" t="n">
        <v>151.964</v>
      </c>
    </row>
    <row r="65">
      <c r="A65" t="inlineStr">
        <is>
          <t>Gd</t>
        </is>
      </c>
      <c r="B65" t="n">
        <v>64</v>
      </c>
      <c r="C65" t="n">
        <v>157.25</v>
      </c>
    </row>
    <row r="66">
      <c r="A66" t="inlineStr">
        <is>
          <t>Tb</t>
        </is>
      </c>
      <c r="B66" t="n">
        <v>65</v>
      </c>
      <c r="C66" t="n">
        <v>158.925354</v>
      </c>
    </row>
    <row r="67">
      <c r="A67" t="inlineStr">
        <is>
          <t>Dy</t>
        </is>
      </c>
      <c r="B67" t="n">
        <v>66</v>
      </c>
      <c r="C67" t="n">
        <v>162.5</v>
      </c>
    </row>
    <row r="68">
      <c r="A68" t="inlineStr">
        <is>
          <t>Ho</t>
        </is>
      </c>
      <c r="B68" t="n">
        <v>67</v>
      </c>
      <c r="C68" t="n">
        <v>164.930328</v>
      </c>
    </row>
    <row r="69">
      <c r="A69" t="inlineStr">
        <is>
          <t>Er</t>
        </is>
      </c>
      <c r="B69" t="n">
        <v>68</v>
      </c>
      <c r="C69" t="n">
        <v>167.259</v>
      </c>
    </row>
    <row r="70">
      <c r="A70" t="inlineStr">
        <is>
          <t>Tm</t>
        </is>
      </c>
      <c r="B70" t="n">
        <v>69</v>
      </c>
      <c r="C70" t="n">
        <v>168.934218</v>
      </c>
    </row>
    <row r="71">
      <c r="A71" t="inlineStr">
        <is>
          <t>Yb</t>
        </is>
      </c>
      <c r="B71" t="n">
        <v>70</v>
      </c>
      <c r="C71" t="n">
        <v>173.054</v>
      </c>
    </row>
    <row r="72">
      <c r="A72" t="inlineStr">
        <is>
          <t>Lu</t>
        </is>
      </c>
      <c r="B72" t="n">
        <v>71</v>
      </c>
      <c r="C72" t="n">
        <v>174.9668</v>
      </c>
    </row>
    <row r="73">
      <c r="A73" t="inlineStr">
        <is>
          <t>Hf</t>
        </is>
      </c>
      <c r="B73" t="n">
        <v>72</v>
      </c>
      <c r="C73" t="n">
        <v>178.49</v>
      </c>
    </row>
    <row r="74">
      <c r="A74" t="inlineStr">
        <is>
          <t>Ta</t>
        </is>
      </c>
      <c r="B74" t="n">
        <v>73</v>
      </c>
      <c r="C74" t="n">
        <v>180.94788</v>
      </c>
    </row>
    <row r="75">
      <c r="A75" t="inlineStr">
        <is>
          <t>W</t>
        </is>
      </c>
      <c r="B75" t="n">
        <v>74</v>
      </c>
      <c r="C75" t="n">
        <v>183.84</v>
      </c>
    </row>
    <row r="76">
      <c r="A76" t="inlineStr">
        <is>
          <t>Re</t>
        </is>
      </c>
      <c r="B76" t="n">
        <v>75</v>
      </c>
      <c r="C76" t="n">
        <v>186.207</v>
      </c>
    </row>
    <row r="77">
      <c r="A77" t="inlineStr">
        <is>
          <t>Os</t>
        </is>
      </c>
      <c r="B77" t="n">
        <v>76</v>
      </c>
      <c r="C77" t="n">
        <v>190.23</v>
      </c>
    </row>
    <row r="78">
      <c r="A78" t="inlineStr">
        <is>
          <t>Ir</t>
        </is>
      </c>
      <c r="B78" t="n">
        <v>77</v>
      </c>
      <c r="C78" t="n">
        <v>192.217</v>
      </c>
    </row>
    <row r="79">
      <c r="A79" t="inlineStr">
        <is>
          <t>Pt</t>
        </is>
      </c>
      <c r="B79" t="n">
        <v>78</v>
      </c>
      <c r="C79" t="n">
        <v>195.084</v>
      </c>
    </row>
    <row r="80">
      <c r="A80" t="inlineStr">
        <is>
          <t>Au</t>
        </is>
      </c>
      <c r="B80" t="n">
        <v>79</v>
      </c>
      <c r="C80" t="n">
        <v>196.96657</v>
      </c>
    </row>
    <row r="81">
      <c r="A81" t="inlineStr">
        <is>
          <t>Hg</t>
        </is>
      </c>
      <c r="B81" t="n">
        <v>80</v>
      </c>
      <c r="C81" t="n">
        <v>200.592</v>
      </c>
    </row>
    <row r="82">
      <c r="A82" t="inlineStr">
        <is>
          <t>Tl</t>
        </is>
      </c>
      <c r="B82" t="n">
        <v>81</v>
      </c>
      <c r="C82" t="n">
        <v>204.38</v>
      </c>
    </row>
    <row r="83">
      <c r="A83" t="inlineStr">
        <is>
          <t>Pb</t>
        </is>
      </c>
      <c r="B83" t="n">
        <v>82</v>
      </c>
      <c r="C83" t="n">
        <v>207.2</v>
      </c>
    </row>
    <row r="84">
      <c r="A84" t="inlineStr">
        <is>
          <t>Bi</t>
        </is>
      </c>
      <c r="B84" t="n">
        <v>83</v>
      </c>
      <c r="C84" t="n">
        <v>208.980401</v>
      </c>
    </row>
    <row r="85">
      <c r="A85" t="inlineStr">
        <is>
          <t>Po</t>
        </is>
      </c>
      <c r="B85" t="n">
        <v>84</v>
      </c>
      <c r="C85" t="n">
        <v>209</v>
      </c>
    </row>
    <row r="86">
      <c r="A86" t="inlineStr">
        <is>
          <t>At</t>
        </is>
      </c>
      <c r="B86" t="n">
        <v>85</v>
      </c>
      <c r="C86" t="n">
        <v>210</v>
      </c>
    </row>
    <row r="87">
      <c r="A87" t="inlineStr">
        <is>
          <t>Rn</t>
        </is>
      </c>
      <c r="B87" t="n">
        <v>86</v>
      </c>
      <c r="C87" t="n">
        <v>222</v>
      </c>
    </row>
    <row r="88">
      <c r="A88" t="inlineStr">
        <is>
          <t>Fr</t>
        </is>
      </c>
      <c r="B88" t="n">
        <v>87</v>
      </c>
      <c r="C88" t="n">
        <v>223</v>
      </c>
    </row>
    <row r="89">
      <c r="A89" t="inlineStr">
        <is>
          <t>Ra</t>
        </is>
      </c>
      <c r="B89" t="n">
        <v>88</v>
      </c>
      <c r="C89" t="n">
        <v>226</v>
      </c>
    </row>
    <row r="90">
      <c r="A90" t="inlineStr">
        <is>
          <t>Ac</t>
        </is>
      </c>
      <c r="B90" t="n">
        <v>89</v>
      </c>
      <c r="C90" t="n">
        <v>227</v>
      </c>
    </row>
    <row r="91">
      <c r="A91" t="inlineStr">
        <is>
          <t>Th</t>
        </is>
      </c>
      <c r="B91" t="n">
        <v>90</v>
      </c>
      <c r="C91" t="n">
        <v>232.0377</v>
      </c>
      <c r="AD91" t="n">
        <v>1.3e-05</v>
      </c>
    </row>
    <row r="92">
      <c r="A92" t="inlineStr">
        <is>
          <t>Pa</t>
        </is>
      </c>
      <c r="B92" t="n">
        <v>91</v>
      </c>
      <c r="C92" t="n">
        <v>231.03588</v>
      </c>
    </row>
    <row r="93">
      <c r="A93" t="inlineStr">
        <is>
          <t>U</t>
        </is>
      </c>
      <c r="B93" t="n">
        <v>92</v>
      </c>
      <c r="C93" t="n">
        <v>238.02891</v>
      </c>
      <c r="AD93" t="n">
        <v>3.4e-06</v>
      </c>
    </row>
    <row r="94">
      <c r="A94" t="inlineStr">
        <is>
          <t>Np</t>
        </is>
      </c>
      <c r="B94" t="n">
        <v>93</v>
      </c>
      <c r="C94" t="n">
        <v>237</v>
      </c>
    </row>
    <row r="95">
      <c r="A95" t="inlineStr">
        <is>
          <t>Pu</t>
        </is>
      </c>
      <c r="B95" t="n">
        <v>94</v>
      </c>
      <c r="C95" t="n">
        <v>244</v>
      </c>
    </row>
    <row r="96">
      <c r="A96" t="inlineStr">
        <is>
          <t>Am</t>
        </is>
      </c>
      <c r="B96" t="n">
        <v>95</v>
      </c>
      <c r="C96" t="n">
        <v>243</v>
      </c>
    </row>
    <row r="97">
      <c r="A97" t="inlineStr">
        <is>
          <t>Cm</t>
        </is>
      </c>
      <c r="B97" t="n">
        <v>96</v>
      </c>
      <c r="C97" t="n">
        <v>247</v>
      </c>
    </row>
    <row r="98">
      <c r="A98" t="inlineStr">
        <is>
          <t>Bk</t>
        </is>
      </c>
      <c r="B98" t="n">
        <v>97</v>
      </c>
      <c r="C98" t="n">
        <v>247</v>
      </c>
    </row>
    <row r="99">
      <c r="A99" t="inlineStr">
        <is>
          <t>Cf</t>
        </is>
      </c>
      <c r="B99" t="n">
        <v>98</v>
      </c>
      <c r="C99" t="n">
        <v>251</v>
      </c>
    </row>
    <row r="100">
      <c r="A100" t="inlineStr">
        <is>
          <t>Es</t>
        </is>
      </c>
      <c r="B100" t="n">
        <v>99</v>
      </c>
      <c r="C100" t="n">
        <v>252</v>
      </c>
    </row>
    <row r="101">
      <c r="A101" t="inlineStr">
        <is>
          <t>Fm</t>
        </is>
      </c>
      <c r="B101" t="n">
        <v>100</v>
      </c>
      <c r="C101" t="n">
        <v>257</v>
      </c>
    </row>
    <row r="102">
      <c r="A102" t="inlineStr">
        <is>
          <t>Md</t>
        </is>
      </c>
      <c r="B102" t="n">
        <v>101</v>
      </c>
      <c r="C102" t="n">
        <v>258</v>
      </c>
    </row>
    <row r="103">
      <c r="A103" t="inlineStr">
        <is>
          <t>No</t>
        </is>
      </c>
      <c r="B103" t="n">
        <v>102</v>
      </c>
      <c r="C103" t="n">
        <v>259</v>
      </c>
    </row>
    <row r="104">
      <c r="A104" t="inlineStr">
        <is>
          <t>Lr</t>
        </is>
      </c>
      <c r="B104" t="n">
        <v>103</v>
      </c>
      <c r="C104" t="n">
        <v>266</v>
      </c>
    </row>
    <row r="105">
      <c r="A105" t="inlineStr">
        <is>
          <t>Rf</t>
        </is>
      </c>
      <c r="B105" t="n">
        <v>104</v>
      </c>
      <c r="C105" t="n">
        <v>267</v>
      </c>
    </row>
    <row r="106">
      <c r="A106" t="inlineStr">
        <is>
          <t>Db</t>
        </is>
      </c>
      <c r="B106" t="n">
        <v>105</v>
      </c>
      <c r="C106" t="n">
        <v>268</v>
      </c>
    </row>
    <row r="107">
      <c r="A107" t="inlineStr">
        <is>
          <t>Sg</t>
        </is>
      </c>
      <c r="B107" t="n">
        <v>106</v>
      </c>
      <c r="C107" t="n">
        <v>269</v>
      </c>
    </row>
    <row r="108">
      <c r="A108" t="inlineStr">
        <is>
          <t>Bh</t>
        </is>
      </c>
      <c r="B108" t="n">
        <v>107</v>
      </c>
      <c r="C108" t="n">
        <v>270</v>
      </c>
    </row>
    <row r="109">
      <c r="A109" t="inlineStr">
        <is>
          <t>Hs</t>
        </is>
      </c>
      <c r="B109" t="n">
        <v>108</v>
      </c>
      <c r="C109" t="n">
        <v>277</v>
      </c>
    </row>
    <row r="110">
      <c r="A110" t="inlineStr">
        <is>
          <t>Mt</t>
        </is>
      </c>
      <c r="B110" t="n">
        <v>109</v>
      </c>
      <c r="C110" t="n">
        <v>278</v>
      </c>
    </row>
    <row r="111">
      <c r="A111" t="inlineStr">
        <is>
          <t>Ds</t>
        </is>
      </c>
      <c r="B111" t="n">
        <v>110</v>
      </c>
      <c r="C111" t="n">
        <v>281</v>
      </c>
    </row>
    <row r="112">
      <c r="A112" t="inlineStr">
        <is>
          <t>Rg</t>
        </is>
      </c>
      <c r="B112" t="n">
        <v>111</v>
      </c>
      <c r="C112" t="n">
        <v>282</v>
      </c>
    </row>
    <row r="113">
      <c r="A113" t="inlineStr">
        <is>
          <t>Cn</t>
        </is>
      </c>
      <c r="B113" t="n">
        <v>112</v>
      </c>
      <c r="C113" t="n">
        <v>285</v>
      </c>
    </row>
    <row r="114">
      <c r="A114" t="inlineStr">
        <is>
          <t>Nh</t>
        </is>
      </c>
      <c r="B114" t="n">
        <v>113</v>
      </c>
      <c r="C114" t="n">
        <v>286</v>
      </c>
    </row>
    <row r="115">
      <c r="A115" t="inlineStr">
        <is>
          <t>Fl</t>
        </is>
      </c>
      <c r="B115" t="n">
        <v>114</v>
      </c>
      <c r="C115" t="n">
        <v>289</v>
      </c>
    </row>
    <row r="116">
      <c r="A116" t="inlineStr">
        <is>
          <t>Mc</t>
        </is>
      </c>
      <c r="B116" t="n">
        <v>115</v>
      </c>
      <c r="C116" t="n">
        <v>290</v>
      </c>
    </row>
    <row r="117">
      <c r="A117" t="inlineStr">
        <is>
          <t>Lv</t>
        </is>
      </c>
      <c r="B117" t="n">
        <v>116</v>
      </c>
      <c r="C117" t="n">
        <v>293</v>
      </c>
    </row>
    <row r="118">
      <c r="A118" t="inlineStr">
        <is>
          <t>Ts</t>
        </is>
      </c>
      <c r="B118" t="n">
        <v>117</v>
      </c>
      <c r="C118" t="n">
        <v>294</v>
      </c>
    </row>
    <row r="119">
      <c r="A119" t="inlineStr">
        <is>
          <t>Og</t>
        </is>
      </c>
      <c r="B119" t="n">
        <v>118</v>
      </c>
      <c r="C119" t="n">
        <v>294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TREVISAN SARA [SM2300553]</dc:creator>
  <dcterms:created xmlns:dcterms="http://purl.org/dc/terms/" xmlns:xsi="http://www.w3.org/2001/XMLSchema-instance" xsi:type="dcterms:W3CDTF">2024-07-11T16:31:47Z</dcterms:created>
  <dcterms:modified xmlns:dcterms="http://purl.org/dc/terms/" xmlns:xsi="http://www.w3.org/2001/XMLSchema-instance" xsi:type="dcterms:W3CDTF">2026-06-12T14:47:02Z</dcterms:modified>
  <cp:lastModifiedBy>TREVISAN SARA [INT-PHD1100002]</cp:lastModifiedBy>
</cp:coreProperties>
</file>